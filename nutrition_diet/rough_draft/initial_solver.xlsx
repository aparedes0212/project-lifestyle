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45d5b8aedb3d55b/Lifestyle Tracking v2/project_lifestyle/nutrition_diet/rough_draft/"/>
    </mc:Choice>
  </mc:AlternateContent>
  <xr:revisionPtr revIDLastSave="102491" documentId="11_F25DC773A252ABDACC10488ED11D693A5ADE58F2" xr6:coauthVersionLast="47" xr6:coauthVersionMax="47" xr10:uidLastSave="{28123AEA-E9E2-40D6-8575-5BB8F71BDBDE}"/>
  <bookViews>
    <workbookView xWindow="-120" yWindow="-120" windowWidth="29040" windowHeight="15720" activeTab="1" xr2:uid="{00000000-000D-0000-FFFF-FFFF00000000}"/>
  </bookViews>
  <sheets>
    <sheet name="All Facts" sheetId="1" r:id="rId1"/>
    <sheet name="Recipie" sheetId="2" r:id="rId2"/>
    <sheet name="Solver" sheetId="3" r:id="rId3"/>
    <sheet name="Shopping List" sheetId="4" r:id="rId4"/>
  </sheets>
  <definedNames>
    <definedName name="solver_adj" localSheetId="2" hidden="1">Solver!$C$9:$C$15,Solver!$AB$2:$AB$8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0" localSheetId="2" hidden="1">Solver!$C$11:$C$19</definedName>
    <definedName name="solver_lhs1" localSheetId="2" hidden="1">Solver!$D$9:$D$15</definedName>
    <definedName name="solver_lhs2" localSheetId="2" hidden="1">Solver!$G$26</definedName>
    <definedName name="solver_lhs3" localSheetId="2" hidden="1">Solver!$D$9:$D$15</definedName>
    <definedName name="solver_lhs4" localSheetId="2" hidden="1">Solver!$G$9:$G$15</definedName>
    <definedName name="solver_lhs5" localSheetId="2" hidden="1">Solver!$G$28</definedName>
    <definedName name="solver_lhs6" localSheetId="2" hidden="1">Solver!$G$28</definedName>
    <definedName name="solver_lhs7" localSheetId="2" hidden="1">Solver!$G$29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Solver!$G$26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2</definedName>
    <definedName name="solver_rel2" localSheetId="2" hidden="1">3</definedName>
    <definedName name="solver_rel3" localSheetId="2" hidden="1">3</definedName>
    <definedName name="solver_rel4" localSheetId="2" hidden="1">3</definedName>
    <definedName name="solver_rel5" localSheetId="2" hidden="1">1</definedName>
    <definedName name="solver_rel6" localSheetId="2" hidden="1">1</definedName>
    <definedName name="solver_rel7" localSheetId="2" hidden="1">3</definedName>
    <definedName name="solver_rhs0" localSheetId="2" hidden="1">Solver!$X$11:$X$19</definedName>
    <definedName name="solver_rhs1" localSheetId="2" hidden="1">Solver!$F$29</definedName>
    <definedName name="solver_rhs2" localSheetId="2" hidden="1">Solver!$F$26</definedName>
    <definedName name="solver_rhs3" localSheetId="2" hidden="1">Solver!$F$27</definedName>
    <definedName name="solver_rhs4" localSheetId="2" hidden="1">Solver!$F$24</definedName>
    <definedName name="solver_rhs5" localSheetId="2" hidden="1">Solver!$F$28</definedName>
    <definedName name="solver_rhs6" localSheetId="2" hidden="1">Solver!$F$28</definedName>
    <definedName name="solver_rhs7" localSheetId="2" hidden="1">Solver!$F$29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1600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2" i="2" s="1"/>
  <c r="F25" i="3"/>
  <c r="F24" i="3"/>
  <c r="G34" i="3"/>
  <c r="F28" i="3" s="1"/>
  <c r="C22" i="2"/>
  <c r="C21" i="2" s="1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Y15" i="3"/>
  <c r="C11" i="4"/>
  <c r="C7" i="4"/>
  <c r="C6" i="4"/>
  <c r="C5" i="4"/>
  <c r="Y11" i="3"/>
  <c r="C2" i="4" s="1"/>
  <c r="D17" i="1"/>
  <c r="C16" i="2"/>
  <c r="C14" i="2" s="1"/>
  <c r="Y13" i="3"/>
  <c r="AW6" i="3"/>
  <c r="S2" i="1"/>
  <c r="Q2" i="1"/>
  <c r="P2" i="1"/>
  <c r="O2" i="1"/>
  <c r="N2" i="1"/>
  <c r="K2" i="1"/>
  <c r="J2" i="1"/>
  <c r="H2" i="1"/>
  <c r="G2" i="1"/>
  <c r="F2" i="1"/>
  <c r="C10" i="2"/>
  <c r="C9" i="2" s="1"/>
  <c r="AC5" i="2"/>
  <c r="Y10" i="3"/>
  <c r="Y9" i="3"/>
  <c r="Y14" i="3"/>
  <c r="Y12" i="3"/>
  <c r="C3" i="4" s="1"/>
  <c r="AW5" i="3"/>
  <c r="AW4" i="3"/>
  <c r="AW7" i="3"/>
  <c r="AW2" i="3"/>
  <c r="AW3" i="3"/>
  <c r="Z1" i="3"/>
  <c r="AH6" i="3" s="1"/>
  <c r="C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D2" i="3"/>
  <c r="V1" i="2"/>
  <c r="W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D1" i="2"/>
  <c r="F27" i="3" l="1"/>
  <c r="H22" i="2"/>
  <c r="M22" i="2"/>
  <c r="R21" i="2"/>
  <c r="Q21" i="2"/>
  <c r="J21" i="2"/>
  <c r="I22" i="2"/>
  <c r="N22" i="2"/>
  <c r="U22" i="2"/>
  <c r="T22" i="2"/>
  <c r="V22" i="2"/>
  <c r="E22" i="2"/>
  <c r="C20" i="2"/>
  <c r="I20" i="2" s="1"/>
  <c r="F22" i="2"/>
  <c r="D21" i="2"/>
  <c r="L21" i="2"/>
  <c r="T21" i="2"/>
  <c r="G22" i="2"/>
  <c r="O22" i="2"/>
  <c r="W22" i="2"/>
  <c r="K21" i="2"/>
  <c r="P22" i="2"/>
  <c r="Q22" i="2"/>
  <c r="E21" i="2"/>
  <c r="U21" i="2"/>
  <c r="V21" i="2"/>
  <c r="G21" i="2"/>
  <c r="O21" i="2"/>
  <c r="W21" i="2"/>
  <c r="J22" i="2"/>
  <c r="R22" i="2"/>
  <c r="M21" i="2"/>
  <c r="F21" i="2"/>
  <c r="H21" i="2"/>
  <c r="P21" i="2"/>
  <c r="K22" i="2"/>
  <c r="S22" i="2"/>
  <c r="S21" i="2"/>
  <c r="N21" i="2"/>
  <c r="I21" i="2"/>
  <c r="D22" i="2"/>
  <c r="L22" i="2"/>
  <c r="C4" i="4"/>
  <c r="C8" i="4"/>
  <c r="AU3" i="3"/>
  <c r="V10" i="3" s="1"/>
  <c r="AM3" i="3"/>
  <c r="N10" i="3" s="1"/>
  <c r="AE3" i="3"/>
  <c r="F10" i="3" s="1"/>
  <c r="AO2" i="3"/>
  <c r="AG2" i="3"/>
  <c r="AS7" i="3"/>
  <c r="T14" i="3" s="1"/>
  <c r="AK7" i="3"/>
  <c r="L14" i="3" s="1"/>
  <c r="AC7" i="3"/>
  <c r="D14" i="3" s="1"/>
  <c r="AO4" i="3"/>
  <c r="P11" i="3" s="1"/>
  <c r="AG4" i="3"/>
  <c r="H11" i="3" s="1"/>
  <c r="AS5" i="3"/>
  <c r="AK5" i="3"/>
  <c r="AC5" i="3"/>
  <c r="AO6" i="3"/>
  <c r="AG6" i="3"/>
  <c r="AT3" i="3"/>
  <c r="U10" i="3" s="1"/>
  <c r="AL3" i="3"/>
  <c r="M10" i="3" s="1"/>
  <c r="AV2" i="3"/>
  <c r="AN2" i="3"/>
  <c r="AF2" i="3"/>
  <c r="AR7" i="3"/>
  <c r="S14" i="3" s="1"/>
  <c r="AJ7" i="3"/>
  <c r="K14" i="3" s="1"/>
  <c r="AV4" i="3"/>
  <c r="W11" i="3" s="1"/>
  <c r="AN4" i="3"/>
  <c r="O11" i="3" s="1"/>
  <c r="AF4" i="3"/>
  <c r="G11" i="3" s="1"/>
  <c r="AR5" i="3"/>
  <c r="AJ5" i="3"/>
  <c r="AV6" i="3"/>
  <c r="AN6" i="3"/>
  <c r="AF6" i="3"/>
  <c r="AS3" i="3"/>
  <c r="T10" i="3" s="1"/>
  <c r="AK3" i="3"/>
  <c r="L10" i="3" s="1"/>
  <c r="AU2" i="3"/>
  <c r="AM2" i="3"/>
  <c r="AE2" i="3"/>
  <c r="AQ7" i="3"/>
  <c r="R14" i="3" s="1"/>
  <c r="AI7" i="3"/>
  <c r="J14" i="3" s="1"/>
  <c r="AU4" i="3"/>
  <c r="V11" i="3" s="1"/>
  <c r="AM4" i="3"/>
  <c r="N11" i="3" s="1"/>
  <c r="AE4" i="3"/>
  <c r="F11" i="3" s="1"/>
  <c r="AQ5" i="3"/>
  <c r="AI5" i="3"/>
  <c r="AU6" i="3"/>
  <c r="AM6" i="3"/>
  <c r="AE6" i="3"/>
  <c r="AR3" i="3"/>
  <c r="S10" i="3" s="1"/>
  <c r="AJ3" i="3"/>
  <c r="K10" i="3" s="1"/>
  <c r="AT2" i="3"/>
  <c r="AL2" i="3"/>
  <c r="AD2" i="3"/>
  <c r="AP7" i="3"/>
  <c r="Q14" i="3" s="1"/>
  <c r="AH7" i="3"/>
  <c r="I14" i="3" s="1"/>
  <c r="AT4" i="3"/>
  <c r="U11" i="3" s="1"/>
  <c r="AL4" i="3"/>
  <c r="M11" i="3" s="1"/>
  <c r="AD4" i="3"/>
  <c r="E11" i="3" s="1"/>
  <c r="AP5" i="3"/>
  <c r="AH5" i="3"/>
  <c r="AT6" i="3"/>
  <c r="AL6" i="3"/>
  <c r="AD6" i="3"/>
  <c r="AC6" i="3"/>
  <c r="AQ3" i="3"/>
  <c r="R10" i="3" s="1"/>
  <c r="AG7" i="3"/>
  <c r="H14" i="3" s="1"/>
  <c r="AS6" i="3"/>
  <c r="AC3" i="3"/>
  <c r="D10" i="3" s="1"/>
  <c r="AP3" i="3"/>
  <c r="Q10" i="3" s="1"/>
  <c r="AH3" i="3"/>
  <c r="I10" i="3" s="1"/>
  <c r="AR2" i="3"/>
  <c r="AJ2" i="3"/>
  <c r="AV7" i="3"/>
  <c r="W14" i="3" s="1"/>
  <c r="AN7" i="3"/>
  <c r="O14" i="3" s="1"/>
  <c r="AF7" i="3"/>
  <c r="G14" i="3" s="1"/>
  <c r="AR4" i="3"/>
  <c r="S11" i="3" s="1"/>
  <c r="AJ4" i="3"/>
  <c r="K11" i="3" s="1"/>
  <c r="AV5" i="3"/>
  <c r="AN5" i="3"/>
  <c r="AF5" i="3"/>
  <c r="AR6" i="3"/>
  <c r="AJ6" i="3"/>
  <c r="AI3" i="3"/>
  <c r="J10" i="3" s="1"/>
  <c r="AK2" i="3"/>
  <c r="AO7" i="3"/>
  <c r="P14" i="3" s="1"/>
  <c r="AK4" i="3"/>
  <c r="L11" i="3" s="1"/>
  <c r="AO5" i="3"/>
  <c r="AK6" i="3"/>
  <c r="AD3" i="3"/>
  <c r="E10" i="3" s="1"/>
  <c r="AO3" i="3"/>
  <c r="P10" i="3" s="1"/>
  <c r="AG3" i="3"/>
  <c r="H10" i="3" s="1"/>
  <c r="AQ2" i="3"/>
  <c r="AI2" i="3"/>
  <c r="AU7" i="3"/>
  <c r="V14" i="3" s="1"/>
  <c r="AM7" i="3"/>
  <c r="N14" i="3" s="1"/>
  <c r="AE7" i="3"/>
  <c r="F14" i="3" s="1"/>
  <c r="AQ4" i="3"/>
  <c r="R11" i="3" s="1"/>
  <c r="AI4" i="3"/>
  <c r="J11" i="3" s="1"/>
  <c r="AU5" i="3"/>
  <c r="AM5" i="3"/>
  <c r="AE5" i="3"/>
  <c r="AQ6" i="3"/>
  <c r="AI6" i="3"/>
  <c r="AS2" i="3"/>
  <c r="AC2" i="3"/>
  <c r="AS4" i="3"/>
  <c r="T11" i="3" s="1"/>
  <c r="AC4" i="3"/>
  <c r="D11" i="3" s="1"/>
  <c r="AG5" i="3"/>
  <c r="AV3" i="3"/>
  <c r="W10" i="3" s="1"/>
  <c r="AN3" i="3"/>
  <c r="O10" i="3" s="1"/>
  <c r="AF3" i="3"/>
  <c r="G10" i="3" s="1"/>
  <c r="AP2" i="3"/>
  <c r="AH2" i="3"/>
  <c r="AT7" i="3"/>
  <c r="U14" i="3" s="1"/>
  <c r="AL7" i="3"/>
  <c r="M14" i="3" s="1"/>
  <c r="AD7" i="3"/>
  <c r="E14" i="3" s="1"/>
  <c r="AP4" i="3"/>
  <c r="Q11" i="3" s="1"/>
  <c r="AH4" i="3"/>
  <c r="I11" i="3" s="1"/>
  <c r="AT5" i="3"/>
  <c r="AL5" i="3"/>
  <c r="AD5" i="3"/>
  <c r="AP6" i="3"/>
  <c r="E16" i="2"/>
  <c r="H16" i="2"/>
  <c r="N16" i="2"/>
  <c r="R16" i="2"/>
  <c r="U16" i="2"/>
  <c r="J16" i="2"/>
  <c r="F16" i="2"/>
  <c r="M16" i="2"/>
  <c r="I16" i="2"/>
  <c r="T16" i="2"/>
  <c r="Q16" i="2"/>
  <c r="C15" i="2"/>
  <c r="R15" i="2" s="1"/>
  <c r="P16" i="2"/>
  <c r="V16" i="2"/>
  <c r="R14" i="2"/>
  <c r="P14" i="2"/>
  <c r="V14" i="2"/>
  <c r="O14" i="2"/>
  <c r="J14" i="2"/>
  <c r="H14" i="2"/>
  <c r="G14" i="2"/>
  <c r="W14" i="2"/>
  <c r="I14" i="2"/>
  <c r="Q14" i="2"/>
  <c r="G16" i="2"/>
  <c r="O16" i="2"/>
  <c r="W16" i="2"/>
  <c r="K14" i="2"/>
  <c r="S14" i="2"/>
  <c r="D14" i="2"/>
  <c r="L14" i="2"/>
  <c r="T14" i="2"/>
  <c r="E14" i="2"/>
  <c r="M14" i="2"/>
  <c r="U14" i="2"/>
  <c r="K16" i="2"/>
  <c r="S16" i="2"/>
  <c r="F14" i="2"/>
  <c r="N14" i="2"/>
  <c r="D16" i="2"/>
  <c r="L16" i="2"/>
  <c r="I4" i="2"/>
  <c r="R4" i="2"/>
  <c r="F10" i="2"/>
  <c r="V4" i="2"/>
  <c r="H4" i="2"/>
  <c r="W10" i="2"/>
  <c r="Q10" i="2"/>
  <c r="T4" i="2"/>
  <c r="S4" i="2"/>
  <c r="P4" i="2"/>
  <c r="L4" i="2"/>
  <c r="Q4" i="2"/>
  <c r="J4" i="2"/>
  <c r="I10" i="2"/>
  <c r="V10" i="2"/>
  <c r="N10" i="2"/>
  <c r="O10" i="2"/>
  <c r="G10" i="2"/>
  <c r="G4" i="2"/>
  <c r="N4" i="2"/>
  <c r="P10" i="2"/>
  <c r="H10" i="2"/>
  <c r="U10" i="2"/>
  <c r="M10" i="2"/>
  <c r="E10" i="2"/>
  <c r="T10" i="2"/>
  <c r="L10" i="2"/>
  <c r="D10" i="2"/>
  <c r="S10" i="2"/>
  <c r="K10" i="2"/>
  <c r="R10" i="2"/>
  <c r="J10" i="2"/>
  <c r="C8" i="2"/>
  <c r="C11" i="2" s="1"/>
  <c r="W4" i="2"/>
  <c r="O4" i="2"/>
  <c r="U4" i="2"/>
  <c r="M4" i="2"/>
  <c r="E4" i="2"/>
  <c r="K4" i="2"/>
  <c r="F4" i="2"/>
  <c r="D4" i="2"/>
  <c r="C3" i="2"/>
  <c r="L2" i="2"/>
  <c r="T2" i="2"/>
  <c r="H2" i="2"/>
  <c r="E2" i="2"/>
  <c r="M2" i="2"/>
  <c r="U2" i="2"/>
  <c r="K2" i="2"/>
  <c r="F2" i="2"/>
  <c r="N2" i="2"/>
  <c r="V2" i="2"/>
  <c r="P2" i="2"/>
  <c r="G2" i="2"/>
  <c r="O2" i="2"/>
  <c r="W2" i="2"/>
  <c r="D2" i="2"/>
  <c r="R2" i="2"/>
  <c r="I2" i="2"/>
  <c r="Q2" i="2"/>
  <c r="J2" i="2"/>
  <c r="S2" i="2"/>
  <c r="H9" i="2"/>
  <c r="P9" i="2"/>
  <c r="I9" i="2"/>
  <c r="Q9" i="2"/>
  <c r="J9" i="2"/>
  <c r="R9" i="2"/>
  <c r="K9" i="2"/>
  <c r="S9" i="2"/>
  <c r="D9" i="2"/>
  <c r="L9" i="2"/>
  <c r="T9" i="2"/>
  <c r="E9" i="2"/>
  <c r="M9" i="2"/>
  <c r="U9" i="2"/>
  <c r="F9" i="2"/>
  <c r="N9" i="2"/>
  <c r="V9" i="2"/>
  <c r="G9" i="2"/>
  <c r="O9" i="2"/>
  <c r="W9" i="2"/>
  <c r="P5" i="3"/>
  <c r="H5" i="3"/>
  <c r="O5" i="3"/>
  <c r="V5" i="3"/>
  <c r="W5" i="3"/>
  <c r="F5" i="3"/>
  <c r="K5" i="3"/>
  <c r="G5" i="3"/>
  <c r="N5" i="3"/>
  <c r="S5" i="3"/>
  <c r="R5" i="3"/>
  <c r="J5" i="3"/>
  <c r="D5" i="3"/>
  <c r="M5" i="3"/>
  <c r="E5" i="3"/>
  <c r="U5" i="3"/>
  <c r="I5" i="3"/>
  <c r="T5" i="3"/>
  <c r="L5" i="3"/>
  <c r="Q5" i="3"/>
  <c r="C10" i="4" l="1"/>
  <c r="S15" i="2"/>
  <c r="S17" i="2" s="1"/>
  <c r="S13" i="3" s="1"/>
  <c r="N20" i="2"/>
  <c r="N23" i="2" s="1"/>
  <c r="N15" i="3" s="1"/>
  <c r="F20" i="2"/>
  <c r="F23" i="2" s="1"/>
  <c r="F15" i="3" s="1"/>
  <c r="U20" i="2"/>
  <c r="U23" i="2" s="1"/>
  <c r="U15" i="3" s="1"/>
  <c r="T20" i="2"/>
  <c r="T23" i="2" s="1"/>
  <c r="T15" i="3" s="1"/>
  <c r="K20" i="2"/>
  <c r="K23" i="2" s="1"/>
  <c r="K15" i="3" s="1"/>
  <c r="E20" i="2"/>
  <c r="E23" i="2" s="1"/>
  <c r="E15" i="3" s="1"/>
  <c r="L20" i="2"/>
  <c r="L23" i="2" s="1"/>
  <c r="L15" i="3" s="1"/>
  <c r="R20" i="2"/>
  <c r="R23" i="2" s="1"/>
  <c r="R15" i="3" s="1"/>
  <c r="D20" i="2"/>
  <c r="D23" i="2" s="1"/>
  <c r="D15" i="3" s="1"/>
  <c r="C23" i="2"/>
  <c r="Q20" i="2"/>
  <c r="Q23" i="2" s="1"/>
  <c r="Q15" i="3" s="1"/>
  <c r="S20" i="2"/>
  <c r="S23" i="2" s="1"/>
  <c r="S15" i="3" s="1"/>
  <c r="J20" i="2"/>
  <c r="J23" i="2" s="1"/>
  <c r="J15" i="3" s="1"/>
  <c r="M20" i="2"/>
  <c r="M23" i="2" s="1"/>
  <c r="M15" i="3" s="1"/>
  <c r="O20" i="2"/>
  <c r="O23" i="2" s="1"/>
  <c r="O15" i="3" s="1"/>
  <c r="G20" i="2"/>
  <c r="G23" i="2" s="1"/>
  <c r="G15" i="3" s="1"/>
  <c r="H20" i="2"/>
  <c r="H23" i="2" s="1"/>
  <c r="H15" i="3" s="1"/>
  <c r="P20" i="2"/>
  <c r="P23" i="2" s="1"/>
  <c r="P15" i="3" s="1"/>
  <c r="V20" i="2"/>
  <c r="V23" i="2" s="1"/>
  <c r="V15" i="3" s="1"/>
  <c r="W20" i="2"/>
  <c r="W23" i="2" s="1"/>
  <c r="W15" i="3" s="1"/>
  <c r="I23" i="2"/>
  <c r="I15" i="3" s="1"/>
  <c r="C9" i="4"/>
  <c r="O15" i="2"/>
  <c r="O17" i="2" s="1"/>
  <c r="O13" i="3" s="1"/>
  <c r="E15" i="2"/>
  <c r="E17" i="2" s="1"/>
  <c r="E13" i="3" s="1"/>
  <c r="W15" i="2"/>
  <c r="W17" i="2" s="1"/>
  <c r="W13" i="3" s="1"/>
  <c r="P15" i="2"/>
  <c r="P17" i="2" s="1"/>
  <c r="P13" i="3" s="1"/>
  <c r="I15" i="2"/>
  <c r="I17" i="2" s="1"/>
  <c r="I13" i="3" s="1"/>
  <c r="H15" i="2"/>
  <c r="H17" i="2" s="1"/>
  <c r="H13" i="3" s="1"/>
  <c r="V15" i="2"/>
  <c r="V17" i="2" s="1"/>
  <c r="V13" i="3" s="1"/>
  <c r="L15" i="2"/>
  <c r="L17" i="2" s="1"/>
  <c r="L13" i="3" s="1"/>
  <c r="F15" i="2"/>
  <c r="F17" i="2" s="1"/>
  <c r="F13" i="3" s="1"/>
  <c r="U15" i="2"/>
  <c r="U17" i="2" s="1"/>
  <c r="U13" i="3" s="1"/>
  <c r="M15" i="2"/>
  <c r="M17" i="2" s="1"/>
  <c r="M13" i="3" s="1"/>
  <c r="K15" i="2"/>
  <c r="K17" i="2" s="1"/>
  <c r="K13" i="3" s="1"/>
  <c r="G15" i="2"/>
  <c r="G17" i="2" s="1"/>
  <c r="G13" i="3" s="1"/>
  <c r="C17" i="2"/>
  <c r="D15" i="2"/>
  <c r="D17" i="2" s="1"/>
  <c r="D13" i="3" s="1"/>
  <c r="N15" i="2"/>
  <c r="N17" i="2" s="1"/>
  <c r="N13" i="3" s="1"/>
  <c r="T15" i="2"/>
  <c r="T17" i="2" s="1"/>
  <c r="T13" i="3" s="1"/>
  <c r="R17" i="2"/>
  <c r="R13" i="3" s="1"/>
  <c r="J15" i="2"/>
  <c r="J17" i="2" s="1"/>
  <c r="J13" i="3" s="1"/>
  <c r="Q15" i="2"/>
  <c r="Q17" i="2" s="1"/>
  <c r="Q13" i="3" s="1"/>
  <c r="N8" i="2"/>
  <c r="N11" i="2" s="1"/>
  <c r="N9" i="3" s="1"/>
  <c r="G8" i="2"/>
  <c r="G11" i="2" s="1"/>
  <c r="G9" i="3" s="1"/>
  <c r="F8" i="2"/>
  <c r="F11" i="2" s="1"/>
  <c r="F9" i="3" s="1"/>
  <c r="O8" i="2"/>
  <c r="O11" i="2" s="1"/>
  <c r="O9" i="3" s="1"/>
  <c r="H8" i="2"/>
  <c r="H11" i="2" s="1"/>
  <c r="H9" i="3" s="1"/>
  <c r="R8" i="2"/>
  <c r="R11" i="2" s="1"/>
  <c r="R9" i="3" s="1"/>
  <c r="S8" i="2"/>
  <c r="S11" i="2" s="1"/>
  <c r="S9" i="3" s="1"/>
  <c r="E8" i="2"/>
  <c r="E11" i="2" s="1"/>
  <c r="E9" i="3" s="1"/>
  <c r="I8" i="2"/>
  <c r="I11" i="2" s="1"/>
  <c r="I9" i="3" s="1"/>
  <c r="T8" i="2"/>
  <c r="T11" i="2" s="1"/>
  <c r="T9" i="3" s="1"/>
  <c r="J8" i="2"/>
  <c r="J11" i="2" s="1"/>
  <c r="J9" i="3" s="1"/>
  <c r="Q8" i="2"/>
  <c r="Q11" i="2" s="1"/>
  <c r="Q9" i="3" s="1"/>
  <c r="L8" i="2"/>
  <c r="L11" i="2" s="1"/>
  <c r="L9" i="3" s="1"/>
  <c r="U8" i="2"/>
  <c r="U11" i="2" s="1"/>
  <c r="U9" i="3" s="1"/>
  <c r="K8" i="2"/>
  <c r="K11" i="2" s="1"/>
  <c r="K9" i="3" s="1"/>
  <c r="V8" i="2"/>
  <c r="V11" i="2" s="1"/>
  <c r="V9" i="3" s="1"/>
  <c r="M8" i="2"/>
  <c r="M11" i="2" s="1"/>
  <c r="M9" i="3" s="1"/>
  <c r="W8" i="2"/>
  <c r="W11" i="2" s="1"/>
  <c r="W9" i="3" s="1"/>
  <c r="P8" i="2"/>
  <c r="P11" i="2" s="1"/>
  <c r="P9" i="3" s="1"/>
  <c r="D8" i="2"/>
  <c r="D11" i="2" s="1"/>
  <c r="D9" i="3" s="1"/>
  <c r="G3" i="2"/>
  <c r="G5" i="2" s="1"/>
  <c r="G12" i="3" s="1"/>
  <c r="N3" i="2"/>
  <c r="N5" i="2" s="1"/>
  <c r="N12" i="3" s="1"/>
  <c r="T3" i="2"/>
  <c r="T5" i="2" s="1"/>
  <c r="T12" i="3" s="1"/>
  <c r="V3" i="2"/>
  <c r="V5" i="2" s="1"/>
  <c r="V12" i="3" s="1"/>
  <c r="M3" i="2"/>
  <c r="M5" i="2" s="1"/>
  <c r="M12" i="3" s="1"/>
  <c r="R3" i="2"/>
  <c r="R5" i="2" s="1"/>
  <c r="R12" i="3" s="1"/>
  <c r="P3" i="2"/>
  <c r="P5" i="2" s="1"/>
  <c r="P12" i="3" s="1"/>
  <c r="I3" i="2"/>
  <c r="I5" i="2" s="1"/>
  <c r="I12" i="3" s="1"/>
  <c r="F3" i="2"/>
  <c r="F5" i="2" s="1"/>
  <c r="F12" i="3" s="1"/>
  <c r="H3" i="2"/>
  <c r="H5" i="2" s="1"/>
  <c r="H12" i="3" s="1"/>
  <c r="S3" i="2"/>
  <c r="S5" i="2" s="1"/>
  <c r="S12" i="3" s="1"/>
  <c r="L3" i="2"/>
  <c r="L5" i="2" s="1"/>
  <c r="L12" i="3" s="1"/>
  <c r="Q3" i="2"/>
  <c r="Q5" i="2" s="1"/>
  <c r="Q12" i="3" s="1"/>
  <c r="J3" i="2"/>
  <c r="J5" i="2" s="1"/>
  <c r="J12" i="3" s="1"/>
  <c r="W3" i="2"/>
  <c r="W5" i="2" s="1"/>
  <c r="W12" i="3" s="1"/>
  <c r="D3" i="2"/>
  <c r="D5" i="2" s="1"/>
  <c r="D12" i="3" s="1"/>
  <c r="K3" i="2"/>
  <c r="K5" i="2" s="1"/>
  <c r="K12" i="3" s="1"/>
  <c r="U3" i="2"/>
  <c r="U5" i="2" s="1"/>
  <c r="U12" i="3" s="1"/>
  <c r="O3" i="2"/>
  <c r="O5" i="2" s="1"/>
  <c r="O12" i="3" s="1"/>
  <c r="C5" i="2"/>
  <c r="E3" i="2"/>
  <c r="E5" i="2" s="1"/>
  <c r="E12" i="3" s="1"/>
  <c r="G29" i="3" l="1"/>
  <c r="G25" i="3"/>
  <c r="G24" i="3"/>
  <c r="G26" i="3"/>
  <c r="G28" i="3"/>
  <c r="G27" i="3"/>
</calcChain>
</file>

<file path=xl/sharedStrings.xml><?xml version="1.0" encoding="utf-8"?>
<sst xmlns="http://schemas.openxmlformats.org/spreadsheetml/2006/main" count="229" uniqueCount="75">
  <si>
    <t>Brand</t>
  </si>
  <si>
    <t>Name</t>
  </si>
  <si>
    <t>Harris Teeter</t>
  </si>
  <si>
    <t>Servings Per Container</t>
  </si>
  <si>
    <t>Serving Size</t>
  </si>
  <si>
    <t>Serving Size Unit</t>
  </si>
  <si>
    <t>Serving Size Grams</t>
  </si>
  <si>
    <t>Fillet</t>
  </si>
  <si>
    <t>Calories</t>
  </si>
  <si>
    <t>Total Fat Grams</t>
  </si>
  <si>
    <t>Total Carb Grams</t>
  </si>
  <si>
    <t>Protein Grams</t>
  </si>
  <si>
    <t>Saturated Fat Grams</t>
  </si>
  <si>
    <t>Polysaturated Fat Grams</t>
  </si>
  <si>
    <t>Monosaturated Fat Grams</t>
  </si>
  <si>
    <t>Cholesterol mg</t>
  </si>
  <si>
    <t>Sodium mg</t>
  </si>
  <si>
    <t>Vitamin D mcg</t>
  </si>
  <si>
    <t>Calcium mg</t>
  </si>
  <si>
    <t>Iron mg</t>
  </si>
  <si>
    <t>Potassium mg</t>
  </si>
  <si>
    <t>Chicken Breast</t>
  </si>
  <si>
    <t>ounces</t>
  </si>
  <si>
    <t>Fishermans Market Tail On Peeled &amp; Deveined Cooked Shrimp</t>
  </si>
  <si>
    <t>Pre-Washed Russet Potatoes</t>
  </si>
  <si>
    <t>Potato</t>
  </si>
  <si>
    <t>Dietary Fiber grams</t>
  </si>
  <si>
    <t>Total Sugars Grams</t>
  </si>
  <si>
    <t>Vitamin C mg</t>
  </si>
  <si>
    <t>Vitamin B6 mg</t>
  </si>
  <si>
    <t>Peanut Butter</t>
  </si>
  <si>
    <t>Tbsp</t>
  </si>
  <si>
    <t>Lower Sodium Bacon</t>
  </si>
  <si>
    <t>slices</t>
  </si>
  <si>
    <t>Eye Round Steak</t>
  </si>
  <si>
    <t>Grade A Large Egg</t>
  </si>
  <si>
    <t>egg</t>
  </si>
  <si>
    <t>All Purpose Flour</t>
  </si>
  <si>
    <t>cup</t>
  </si>
  <si>
    <t>Folic Acid mcg</t>
  </si>
  <si>
    <t>Niacin mg</t>
  </si>
  <si>
    <t>Thiamin mg</t>
  </si>
  <si>
    <t>Chicken Nuggets</t>
  </si>
  <si>
    <t>Ingredient</t>
  </si>
  <si>
    <t>Grams</t>
  </si>
  <si>
    <t>Total</t>
  </si>
  <si>
    <t>Everyday</t>
  </si>
  <si>
    <t>Day</t>
  </si>
  <si>
    <t>Goal</t>
  </si>
  <si>
    <t>Actual</t>
  </si>
  <si>
    <t>Colby Jack Cheese</t>
  </si>
  <si>
    <t>cubes</t>
  </si>
  <si>
    <t>Cubes</t>
  </si>
  <si>
    <t>Pounds</t>
  </si>
  <si>
    <t>Fried Shrimp</t>
  </si>
  <si>
    <t>Grams Selected</t>
  </si>
  <si>
    <t>Ratios</t>
  </si>
  <si>
    <t>Atlantic Skin-On Farm Raised Salmon</t>
  </si>
  <si>
    <t>Fried Shrimp 2</t>
  </si>
  <si>
    <t>Unit</t>
  </si>
  <si>
    <t>Slices</t>
  </si>
  <si>
    <t>Egg</t>
  </si>
  <si>
    <t>Cup</t>
  </si>
  <si>
    <t>Gram</t>
  </si>
  <si>
    <t>Amount</t>
  </si>
  <si>
    <t>Chicken Nuggets 2</t>
  </si>
  <si>
    <t>Protein</t>
  </si>
  <si>
    <t>Calories min</t>
  </si>
  <si>
    <t>Calories Avg</t>
  </si>
  <si>
    <t>Calories max</t>
  </si>
  <si>
    <t>Range</t>
  </si>
  <si>
    <t>Protein min</t>
  </si>
  <si>
    <t>Protein max</t>
  </si>
  <si>
    <t>Protein Avg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</si>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</sst>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1" fillId="2" borderId="1" xfId="1" applyNumberFormat="1" applyAlignment="1">
      <alignment horizontal="center" vertical="center"/>
    </xf>
    <xf numFmtId="1" fontId="1" fillId="2" borderId="1" xfId="1" applyNumberFormat="1"/>
    <xf numFmtId="0" fontId="2" fillId="3" borderId="2" xfId="2"/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1" fillId="2" borderId="1" xfId="1" applyNumberForma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workbookViewId="0">
      <selection activeCell="F4" sqref="F4"/>
    </sheetView>
  </sheetViews>
  <sheetFormatPr defaultRowHeight="15" x14ac:dyDescent="0.25"/>
  <cols>
    <col min="1" max="1" width="12.42578125" bestFit="1" customWidth="1"/>
    <col min="2" max="2" width="23.140625" style="1" bestFit="1" customWidth="1"/>
    <col min="3" max="3" width="11.85546875" bestFit="1" customWidth="1"/>
    <col min="6" max="6" width="7.5703125" bestFit="1" customWidth="1"/>
    <col min="8" max="9" width="6.5703125" bestFit="1" customWidth="1"/>
    <col min="10" max="10" width="7.5703125" bestFit="1" customWidth="1"/>
    <col min="11" max="11" width="9.7109375" bestFit="1" customWidth="1"/>
    <col min="12" max="12" width="13.42578125" bestFit="1" customWidth="1"/>
    <col min="13" max="13" width="15" customWidth="1"/>
    <col min="14" max="14" width="11.28515625" customWidth="1"/>
    <col min="15" max="15" width="7.7109375" bestFit="1" customWidth="1"/>
    <col min="16" max="17" width="8" bestFit="1" customWidth="1"/>
    <col min="18" max="18" width="4.5703125" bestFit="1" customWidth="1"/>
    <col min="19" max="19" width="10.140625" bestFit="1" customWidth="1"/>
    <col min="20" max="20" width="7.42578125" bestFit="1" customWidth="1"/>
    <col min="21" max="21" width="6.7109375" bestFit="1" customWidth="1"/>
    <col min="22" max="23" width="8" bestFit="1" customWidth="1"/>
    <col min="24" max="24" width="5.140625" bestFit="1" customWidth="1"/>
    <col min="25" max="25" width="6.5703125" bestFit="1" customWidth="1"/>
    <col min="26" max="26" width="8.140625" bestFit="1" customWidth="1"/>
  </cols>
  <sheetData>
    <row r="1" spans="1:26" s="4" customFormat="1" ht="45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39</v>
      </c>
      <c r="Y1" s="4" t="s">
        <v>40</v>
      </c>
      <c r="Z1" s="4" t="s">
        <v>41</v>
      </c>
    </row>
    <row r="2" spans="1:26" s="3" customFormat="1" ht="30" x14ac:dyDescent="0.25">
      <c r="A2" s="3" t="s">
        <v>2</v>
      </c>
      <c r="B2" s="4" t="s">
        <v>57</v>
      </c>
      <c r="C2" s="3">
        <v>1</v>
      </c>
      <c r="D2" s="3">
        <v>1</v>
      </c>
      <c r="E2" s="3" t="s">
        <v>7</v>
      </c>
      <c r="F2" s="3">
        <f>113*2.5</f>
        <v>282.5</v>
      </c>
      <c r="G2" s="3">
        <f>260*2.5</f>
        <v>650</v>
      </c>
      <c r="H2" s="3">
        <f>19*2.5</f>
        <v>47.5</v>
      </c>
      <c r="I2" s="3">
        <v>0</v>
      </c>
      <c r="J2" s="3">
        <f>23*2.5</f>
        <v>57.5</v>
      </c>
      <c r="K2" s="3">
        <f>2.5*2.5</f>
        <v>6.25</v>
      </c>
      <c r="N2" s="3">
        <f>65*2.5</f>
        <v>162.5</v>
      </c>
      <c r="O2" s="3">
        <f>35*2.5</f>
        <v>87.5</v>
      </c>
      <c r="P2" s="3">
        <f>8*2.5</f>
        <v>20</v>
      </c>
      <c r="Q2" s="3">
        <f>52*2.5</f>
        <v>130</v>
      </c>
      <c r="S2" s="3">
        <f>376*2.5</f>
        <v>940</v>
      </c>
    </row>
    <row r="3" spans="1:26" s="3" customFormat="1" x14ac:dyDescent="0.25">
      <c r="A3" s="3" t="s">
        <v>2</v>
      </c>
      <c r="B3" s="4" t="s">
        <v>21</v>
      </c>
      <c r="C3" s="3">
        <v>1</v>
      </c>
      <c r="D3" s="3">
        <v>4</v>
      </c>
      <c r="E3" s="3" t="s">
        <v>22</v>
      </c>
      <c r="F3" s="3">
        <v>112</v>
      </c>
      <c r="G3" s="3">
        <v>110</v>
      </c>
      <c r="H3" s="3">
        <v>1</v>
      </c>
      <c r="I3" s="3">
        <v>0</v>
      </c>
      <c r="J3" s="3">
        <v>25</v>
      </c>
      <c r="N3" s="3">
        <v>80</v>
      </c>
      <c r="O3" s="3">
        <v>75</v>
      </c>
      <c r="R3" s="3">
        <v>0.36</v>
      </c>
    </row>
    <row r="4" spans="1:26" s="3" customFormat="1" ht="45" x14ac:dyDescent="0.25">
      <c r="A4" s="3" t="s">
        <v>2</v>
      </c>
      <c r="B4" s="4" t="s">
        <v>23</v>
      </c>
      <c r="C4" s="3">
        <v>4</v>
      </c>
      <c r="D4" s="3">
        <v>3</v>
      </c>
      <c r="E4" s="3" t="s">
        <v>22</v>
      </c>
      <c r="F4" s="3">
        <v>85</v>
      </c>
      <c r="G4" s="3">
        <v>45</v>
      </c>
      <c r="H4" s="3">
        <v>0</v>
      </c>
      <c r="I4" s="3">
        <v>0</v>
      </c>
      <c r="J4" s="3">
        <v>11</v>
      </c>
      <c r="N4" s="3">
        <v>120</v>
      </c>
      <c r="O4" s="3">
        <v>400</v>
      </c>
    </row>
    <row r="5" spans="1:26" s="3" customFormat="1" ht="30" x14ac:dyDescent="0.25">
      <c r="A5" s="3" t="s">
        <v>2</v>
      </c>
      <c r="B5" s="4" t="s">
        <v>24</v>
      </c>
      <c r="C5" s="3">
        <v>15.3</v>
      </c>
      <c r="D5" s="3">
        <v>1</v>
      </c>
      <c r="E5" s="3" t="s">
        <v>25</v>
      </c>
      <c r="F5" s="3">
        <v>148</v>
      </c>
      <c r="G5" s="3">
        <v>110</v>
      </c>
      <c r="I5" s="3">
        <v>26</v>
      </c>
      <c r="J5" s="3">
        <v>3</v>
      </c>
      <c r="Q5" s="3">
        <v>20</v>
      </c>
      <c r="R5" s="3">
        <v>1.1000000000000001</v>
      </c>
      <c r="S5" s="3">
        <v>620</v>
      </c>
      <c r="T5" s="3">
        <v>2</v>
      </c>
      <c r="U5" s="3">
        <v>1</v>
      </c>
      <c r="V5" s="3">
        <v>26</v>
      </c>
      <c r="W5" s="3">
        <v>0.2</v>
      </c>
    </row>
    <row r="6" spans="1:26" s="3" customFormat="1" x14ac:dyDescent="0.25">
      <c r="A6" s="3" t="s">
        <v>2</v>
      </c>
      <c r="B6" s="4" t="s">
        <v>30</v>
      </c>
      <c r="C6" s="3">
        <v>35</v>
      </c>
      <c r="D6" s="3">
        <v>2</v>
      </c>
      <c r="E6" s="3" t="s">
        <v>31</v>
      </c>
      <c r="F6" s="3">
        <v>32</v>
      </c>
      <c r="G6" s="3">
        <v>180</v>
      </c>
      <c r="H6" s="3">
        <v>15</v>
      </c>
      <c r="I6" s="3">
        <v>7</v>
      </c>
      <c r="J6" s="3">
        <v>7</v>
      </c>
      <c r="K6" s="3">
        <v>2.5</v>
      </c>
      <c r="O6" s="3">
        <v>150</v>
      </c>
      <c r="Q6" s="3">
        <v>30</v>
      </c>
      <c r="R6" s="3">
        <v>1</v>
      </c>
      <c r="S6" s="3">
        <v>210</v>
      </c>
      <c r="T6" s="3">
        <v>2</v>
      </c>
      <c r="U6" s="3">
        <v>4</v>
      </c>
    </row>
    <row r="7" spans="1:26" s="3" customFormat="1" x14ac:dyDescent="0.25">
      <c r="A7" s="3" t="s">
        <v>2</v>
      </c>
      <c r="B7" s="4" t="s">
        <v>32</v>
      </c>
      <c r="C7" s="3">
        <v>7</v>
      </c>
      <c r="D7" s="3">
        <v>2</v>
      </c>
      <c r="E7" s="3" t="s">
        <v>33</v>
      </c>
      <c r="F7" s="3">
        <v>15</v>
      </c>
      <c r="G7" s="3">
        <v>80</v>
      </c>
      <c r="H7" s="3">
        <v>6</v>
      </c>
      <c r="I7" s="3">
        <v>0</v>
      </c>
      <c r="J7" s="3">
        <v>4</v>
      </c>
      <c r="K7" s="3">
        <v>2.5</v>
      </c>
      <c r="N7" s="3">
        <v>15</v>
      </c>
      <c r="O7" s="3">
        <v>180</v>
      </c>
      <c r="R7" s="3">
        <v>0.36</v>
      </c>
    </row>
    <row r="8" spans="1:26" s="3" customFormat="1" x14ac:dyDescent="0.25">
      <c r="A8" s="3" t="s">
        <v>2</v>
      </c>
      <c r="B8" s="4" t="s">
        <v>34</v>
      </c>
      <c r="C8" s="3">
        <v>1</v>
      </c>
      <c r="D8" s="3">
        <v>4</v>
      </c>
      <c r="E8" s="3" t="s">
        <v>22</v>
      </c>
      <c r="F8" s="3">
        <v>112</v>
      </c>
      <c r="G8" s="3">
        <v>151</v>
      </c>
      <c r="H8" s="3">
        <v>7</v>
      </c>
      <c r="I8" s="3">
        <v>0</v>
      </c>
      <c r="J8" s="3">
        <v>22</v>
      </c>
      <c r="R8" s="3">
        <v>1.44</v>
      </c>
    </row>
    <row r="9" spans="1:26" s="3" customFormat="1" x14ac:dyDescent="0.25">
      <c r="A9" s="3" t="s">
        <v>2</v>
      </c>
      <c r="B9" s="4" t="s">
        <v>35</v>
      </c>
      <c r="C9" s="3">
        <v>12</v>
      </c>
      <c r="D9" s="3">
        <v>1</v>
      </c>
      <c r="E9" s="3" t="s">
        <v>36</v>
      </c>
      <c r="F9" s="3">
        <v>50</v>
      </c>
      <c r="G9" s="3">
        <v>70</v>
      </c>
      <c r="H9" s="3">
        <v>5</v>
      </c>
      <c r="I9" s="3">
        <v>0</v>
      </c>
      <c r="J9" s="3">
        <v>6</v>
      </c>
      <c r="K9" s="3">
        <v>1.5</v>
      </c>
      <c r="N9" s="3">
        <v>185</v>
      </c>
      <c r="O9" s="3">
        <v>70</v>
      </c>
      <c r="P9" s="3">
        <v>1</v>
      </c>
      <c r="Q9" s="3">
        <v>30</v>
      </c>
      <c r="R9" s="3">
        <v>0.9</v>
      </c>
    </row>
    <row r="10" spans="1:26" s="3" customFormat="1" x14ac:dyDescent="0.25">
      <c r="A10" s="3" t="s">
        <v>2</v>
      </c>
      <c r="B10" s="4" t="s">
        <v>37</v>
      </c>
      <c r="C10" s="3">
        <v>30</v>
      </c>
      <c r="D10" s="3">
        <v>0.25</v>
      </c>
      <c r="E10" s="3" t="s">
        <v>38</v>
      </c>
      <c r="F10" s="3">
        <v>30</v>
      </c>
      <c r="G10" s="3">
        <v>110</v>
      </c>
      <c r="H10" s="3">
        <v>0</v>
      </c>
      <c r="I10" s="3">
        <v>23</v>
      </c>
      <c r="J10" s="3">
        <v>2</v>
      </c>
      <c r="R10" s="3">
        <v>1.3</v>
      </c>
      <c r="S10" s="3">
        <v>30</v>
      </c>
      <c r="X10" s="3">
        <v>50</v>
      </c>
      <c r="Y10" s="3">
        <v>1.4</v>
      </c>
      <c r="Z10" s="3">
        <v>0.22</v>
      </c>
    </row>
    <row r="11" spans="1:26" s="3" customFormat="1" x14ac:dyDescent="0.25">
      <c r="A11" s="3" t="s">
        <v>2</v>
      </c>
      <c r="B11" s="4" t="s">
        <v>50</v>
      </c>
      <c r="C11" s="3">
        <v>8</v>
      </c>
      <c r="D11" s="3">
        <v>6</v>
      </c>
      <c r="E11" s="3" t="s">
        <v>51</v>
      </c>
      <c r="F11" s="3">
        <v>28</v>
      </c>
      <c r="G11" s="3">
        <v>110</v>
      </c>
      <c r="H11" s="3">
        <v>9</v>
      </c>
      <c r="I11" s="3">
        <v>1</v>
      </c>
      <c r="J11" s="3">
        <v>7</v>
      </c>
      <c r="K11" s="3">
        <v>5</v>
      </c>
      <c r="N11" s="3">
        <v>30</v>
      </c>
      <c r="O11" s="3">
        <v>170</v>
      </c>
      <c r="P11" s="3">
        <v>0.2</v>
      </c>
      <c r="Q11" s="3">
        <v>200</v>
      </c>
      <c r="R11" s="3">
        <v>0.2</v>
      </c>
      <c r="S11" s="3">
        <v>30</v>
      </c>
    </row>
    <row r="12" spans="1:26" s="3" customFormat="1" x14ac:dyDescent="0.25">
      <c r="B12" s="4"/>
    </row>
    <row r="13" spans="1:26" s="3" customFormat="1" x14ac:dyDescent="0.25">
      <c r="B13" s="4"/>
    </row>
    <row r="14" spans="1:26" s="3" customFormat="1" x14ac:dyDescent="0.25">
      <c r="B14" s="4"/>
    </row>
    <row r="15" spans="1:26" s="3" customFormat="1" x14ac:dyDescent="0.25">
      <c r="B15" s="4"/>
    </row>
    <row r="16" spans="1:26" s="3" customFormat="1" x14ac:dyDescent="0.25">
      <c r="B16" s="4"/>
    </row>
    <row r="17" spans="2:4" s="3" customFormat="1" x14ac:dyDescent="0.25">
      <c r="B17" s="4"/>
      <c r="D17" s="3">
        <f>F11/D11</f>
        <v>4.666666666666667</v>
      </c>
    </row>
    <row r="18" spans="2:4" s="3" customFormat="1" x14ac:dyDescent="0.25">
      <c r="B18" s="4"/>
    </row>
    <row r="19" spans="2:4" s="3" customFormat="1" x14ac:dyDescent="0.25">
      <c r="B19" s="4"/>
    </row>
    <row r="20" spans="2:4" s="3" customFormat="1" x14ac:dyDescent="0.25">
      <c r="B20" s="4"/>
    </row>
    <row r="21" spans="2:4" s="3" customFormat="1" x14ac:dyDescent="0.25">
      <c r="B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EF93-CB9D-4458-978E-A59758CBAC74}">
  <dimension ref="A1:AE23"/>
  <sheetViews>
    <sheetView tabSelected="1" workbookViewId="0">
      <selection activeCell="C4" sqref="C4"/>
    </sheetView>
  </sheetViews>
  <sheetFormatPr defaultRowHeight="15" x14ac:dyDescent="0.25"/>
  <cols>
    <col min="1" max="1" width="15.85546875" bestFit="1" customWidth="1"/>
    <col min="2" max="2" width="10.28515625" style="2" bestFit="1" customWidth="1"/>
    <col min="3" max="3" width="11.5703125" bestFit="1" customWidth="1"/>
    <col min="4" max="4" width="8.140625" bestFit="1" customWidth="1"/>
    <col min="5" max="5" width="8.5703125" bestFit="1" customWidth="1"/>
    <col min="6" max="6" width="6.5703125" bestFit="1" customWidth="1"/>
    <col min="7" max="7" width="7.5703125" bestFit="1" customWidth="1"/>
    <col min="8" max="8" width="8.42578125" bestFit="1" customWidth="1"/>
    <col min="9" max="9" width="8.85546875" bestFit="1" customWidth="1"/>
    <col min="10" max="10" width="8.7109375" bestFit="1" customWidth="1"/>
    <col min="11" max="11" width="8.85546875" bestFit="1" customWidth="1"/>
    <col min="12" max="12" width="7.7109375" bestFit="1" customWidth="1"/>
    <col min="13" max="14" width="8" bestFit="1" customWidth="1"/>
    <col min="15" max="15" width="7.7109375" bestFit="1" customWidth="1"/>
    <col min="16" max="16" width="8.42578125" bestFit="1" customWidth="1"/>
    <col min="17" max="17" width="7.42578125" bestFit="1" customWidth="1"/>
    <col min="18" max="18" width="6.7109375" bestFit="1" customWidth="1"/>
    <col min="19" max="20" width="8" bestFit="1" customWidth="1"/>
    <col min="21" max="21" width="8.85546875" bestFit="1" customWidth="1"/>
    <col min="22" max="22" width="6.5703125" bestFit="1" customWidth="1"/>
    <col min="23" max="23" width="8.140625" bestFit="1" customWidth="1"/>
  </cols>
  <sheetData>
    <row r="1" spans="1:31" s="4" customFormat="1" ht="60" x14ac:dyDescent="0.25">
      <c r="A1" s="4" t="s">
        <v>1</v>
      </c>
      <c r="B1" s="4" t="s">
        <v>43</v>
      </c>
      <c r="C1" s="4" t="s">
        <v>55</v>
      </c>
      <c r="D1" s="4" t="str">
        <f>'All Facts'!G1</f>
        <v>Calories</v>
      </c>
      <c r="E1" s="4" t="str">
        <f>'All Facts'!H1</f>
        <v>Total Fat Grams</v>
      </c>
      <c r="F1" s="4" t="str">
        <f>'All Facts'!I1</f>
        <v>Total Carb Grams</v>
      </c>
      <c r="G1" s="4" t="str">
        <f>'All Facts'!J1</f>
        <v>Protein Grams</v>
      </c>
      <c r="H1" s="4" t="str">
        <f>'All Facts'!K1</f>
        <v>Saturated Fat Grams</v>
      </c>
      <c r="I1" s="4" t="str">
        <f>'All Facts'!L1</f>
        <v>Polysaturated Fat Grams</v>
      </c>
      <c r="J1" s="4" t="str">
        <f>'All Facts'!M1</f>
        <v>Monosaturated Fat Grams</v>
      </c>
      <c r="K1" s="4" t="str">
        <f>'All Facts'!N1</f>
        <v>Cholesterol mg</v>
      </c>
      <c r="L1" s="4" t="str">
        <f>'All Facts'!O1</f>
        <v>Sodium mg</v>
      </c>
      <c r="M1" s="4" t="str">
        <f>'All Facts'!P1</f>
        <v>Vitamin D mcg</v>
      </c>
      <c r="N1" s="4" t="str">
        <f>'All Facts'!Q1</f>
        <v>Calcium mg</v>
      </c>
      <c r="O1" s="4" t="str">
        <f>'All Facts'!R1</f>
        <v>Iron mg</v>
      </c>
      <c r="P1" s="4" t="str">
        <f>'All Facts'!S1</f>
        <v>Potassium mg</v>
      </c>
      <c r="Q1" s="4" t="str">
        <f>'All Facts'!T1</f>
        <v>Dietary Fiber grams</v>
      </c>
      <c r="R1" s="4" t="str">
        <f>'All Facts'!U1</f>
        <v>Total Sugars Grams</v>
      </c>
      <c r="S1" s="4" t="str">
        <f>'All Facts'!V1</f>
        <v>Vitamin C mg</v>
      </c>
      <c r="T1" s="4" t="str">
        <f>'All Facts'!W1</f>
        <v>Vitamin B6 mg</v>
      </c>
      <c r="U1" s="4" t="str">
        <f>'All Facts'!X1</f>
        <v>Folic Acid mcg</v>
      </c>
      <c r="V1" s="4" t="str">
        <f>'All Facts'!Y1</f>
        <v>Niacin mg</v>
      </c>
      <c r="W1" s="4" t="str">
        <f>'All Facts'!Z1</f>
        <v>Thiamin mg</v>
      </c>
      <c r="AA1" t="s">
        <v>56</v>
      </c>
      <c r="AB1" s="2"/>
      <c r="AC1" t="s">
        <v>44</v>
      </c>
      <c r="AD1"/>
      <c r="AE1" t="s">
        <v>44</v>
      </c>
    </row>
    <row r="2" spans="1:31" s="4" customFormat="1" ht="30" x14ac:dyDescent="0.25">
      <c r="A2" s="4" t="s">
        <v>42</v>
      </c>
      <c r="B2" s="4" t="s">
        <v>35</v>
      </c>
      <c r="C2" s="4">
        <f>MROUND(AC2/AE2*C4,AC2)</f>
        <v>100</v>
      </c>
      <c r="D2" s="4">
        <f>INDEX('All Facts'!G:G,MATCH(Recipie!$B2,'All Facts'!$B:$B,0),1)/INDEX('All Facts'!$F:$F,MATCH(Recipie!$B2,'All Facts'!$B:$B,0),1)*$C2</f>
        <v>140</v>
      </c>
      <c r="E2" s="4">
        <f>INDEX('All Facts'!H:H,MATCH(Recipie!$B2,'All Facts'!$B:$B,0),1)/INDEX('All Facts'!$F:$F,MATCH(Recipie!$B2,'All Facts'!$B:$B,0),1)*$C2</f>
        <v>10</v>
      </c>
      <c r="F2" s="4">
        <f>INDEX('All Facts'!I:I,MATCH(Recipie!$B2,'All Facts'!$B:$B,0),1)/INDEX('All Facts'!$F:$F,MATCH(Recipie!$B2,'All Facts'!$B:$B,0),1)*$C2</f>
        <v>0</v>
      </c>
      <c r="G2" s="4">
        <f>INDEX('All Facts'!J:J,MATCH(Recipie!$B2,'All Facts'!$B:$B,0),1)/INDEX('All Facts'!$F:$F,MATCH(Recipie!$B2,'All Facts'!$B:$B,0),1)*$C2</f>
        <v>12</v>
      </c>
      <c r="H2" s="4">
        <f>INDEX('All Facts'!K:K,MATCH(Recipie!$B2,'All Facts'!$B:$B,0),1)/INDEX('All Facts'!$F:$F,MATCH(Recipie!$B2,'All Facts'!$B:$B,0),1)*$C2</f>
        <v>3</v>
      </c>
      <c r="I2" s="4">
        <f>INDEX('All Facts'!L:L,MATCH(Recipie!$B2,'All Facts'!$B:$B,0),1)/INDEX('All Facts'!$F:$F,MATCH(Recipie!$B2,'All Facts'!$B:$B,0),1)*$C2</f>
        <v>0</v>
      </c>
      <c r="J2" s="4">
        <f>INDEX('All Facts'!M:M,MATCH(Recipie!$B2,'All Facts'!$B:$B,0),1)/INDEX('All Facts'!$F:$F,MATCH(Recipie!$B2,'All Facts'!$B:$B,0),1)*$C2</f>
        <v>0</v>
      </c>
      <c r="K2" s="4">
        <f>INDEX('All Facts'!N:N,MATCH(Recipie!$B2,'All Facts'!$B:$B,0),1)/INDEX('All Facts'!$F:$F,MATCH(Recipie!$B2,'All Facts'!$B:$B,0),1)*$C2</f>
        <v>370</v>
      </c>
      <c r="L2" s="4">
        <f>INDEX('All Facts'!O:O,MATCH(Recipie!$B2,'All Facts'!$B:$B,0),1)/INDEX('All Facts'!$F:$F,MATCH(Recipie!$B2,'All Facts'!$B:$B,0),1)*$C2</f>
        <v>140</v>
      </c>
      <c r="M2" s="4">
        <f>INDEX('All Facts'!P:P,MATCH(Recipie!$B2,'All Facts'!$B:$B,0),1)/INDEX('All Facts'!$F:$F,MATCH(Recipie!$B2,'All Facts'!$B:$B,0),1)*$C2</f>
        <v>2</v>
      </c>
      <c r="N2" s="4">
        <f>INDEX('All Facts'!Q:Q,MATCH(Recipie!$B2,'All Facts'!$B:$B,0),1)/INDEX('All Facts'!$F:$F,MATCH(Recipie!$B2,'All Facts'!$B:$B,0),1)*$C2</f>
        <v>60</v>
      </c>
      <c r="O2" s="4">
        <f>INDEX('All Facts'!R:R,MATCH(Recipie!$B2,'All Facts'!$B:$B,0),1)/INDEX('All Facts'!$F:$F,MATCH(Recipie!$B2,'All Facts'!$B:$B,0),1)*$C2</f>
        <v>1.8000000000000003</v>
      </c>
      <c r="P2" s="4">
        <f>INDEX('All Facts'!S:S,MATCH(Recipie!$B2,'All Facts'!$B:$B,0),1)/INDEX('All Facts'!$F:$F,MATCH(Recipie!$B2,'All Facts'!$B:$B,0),1)*$C2</f>
        <v>0</v>
      </c>
      <c r="Q2" s="4">
        <f>INDEX('All Facts'!T:T,MATCH(Recipie!$B2,'All Facts'!$B:$B,0),1)/INDEX('All Facts'!$F:$F,MATCH(Recipie!$B2,'All Facts'!$B:$B,0),1)*$C2</f>
        <v>0</v>
      </c>
      <c r="R2" s="4">
        <f>INDEX('All Facts'!U:U,MATCH(Recipie!$B2,'All Facts'!$B:$B,0),1)/INDEX('All Facts'!$F:$F,MATCH(Recipie!$B2,'All Facts'!$B:$B,0),1)*$C2</f>
        <v>0</v>
      </c>
      <c r="S2" s="4">
        <f>INDEX('All Facts'!V:V,MATCH(Recipie!$B2,'All Facts'!$B:$B,0),1)/INDEX('All Facts'!$F:$F,MATCH(Recipie!$B2,'All Facts'!$B:$B,0),1)*$C2</f>
        <v>0</v>
      </c>
      <c r="T2" s="4">
        <f>INDEX('All Facts'!W:W,MATCH(Recipie!$B2,'All Facts'!$B:$B,0),1)/INDEX('All Facts'!$F:$F,MATCH(Recipie!$B2,'All Facts'!$B:$B,0),1)*$C2</f>
        <v>0</v>
      </c>
      <c r="U2" s="4">
        <f>INDEX('All Facts'!X:X,MATCH(Recipie!$B2,'All Facts'!$B:$B,0),1)/INDEX('All Facts'!$F:$F,MATCH(Recipie!$B2,'All Facts'!$B:$B,0),1)*$C2</f>
        <v>0</v>
      </c>
      <c r="V2" s="4">
        <f>INDEX('All Facts'!Y:Y,MATCH(Recipie!$B2,'All Facts'!$B:$B,0),1)/INDEX('All Facts'!$F:$F,MATCH(Recipie!$B2,'All Facts'!$B:$B,0),1)*$C2</f>
        <v>0</v>
      </c>
      <c r="W2" s="4">
        <f>INDEX('All Facts'!Z:Z,MATCH(Recipie!$B2,'All Facts'!$B:$B,0),1)/INDEX('All Facts'!$F:$F,MATCH(Recipie!$B2,'All Facts'!$B:$B,0),1)*$C2</f>
        <v>0</v>
      </c>
      <c r="AA2" s="4" t="s">
        <v>42</v>
      </c>
      <c r="AB2" s="2" t="s">
        <v>35</v>
      </c>
      <c r="AC2">
        <v>50</v>
      </c>
      <c r="AD2" s="4" t="s">
        <v>21</v>
      </c>
      <c r="AE2">
        <v>450</v>
      </c>
    </row>
    <row r="3" spans="1:31" s="4" customFormat="1" ht="45" x14ac:dyDescent="0.25">
      <c r="A3" s="4" t="s">
        <v>42</v>
      </c>
      <c r="B3" s="4" t="s">
        <v>37</v>
      </c>
      <c r="C3" s="10">
        <f>AC3/AE3*C4</f>
        <v>72.5465075464611</v>
      </c>
      <c r="D3" s="4">
        <f>INDEX('All Facts'!G:G,MATCH(Recipie!$B3,'All Facts'!$B:$B,0),1)/INDEX('All Facts'!$F:$F,MATCH(Recipie!$B3,'All Facts'!$B:$B,0),1)*$C3</f>
        <v>266.0038610036907</v>
      </c>
      <c r="E3" s="4">
        <f>INDEX('All Facts'!H:H,MATCH(Recipie!$B3,'All Facts'!$B:$B,0),1)/INDEX('All Facts'!$F:$F,MATCH(Recipie!$B3,'All Facts'!$B:$B,0),1)*$C3</f>
        <v>0</v>
      </c>
      <c r="F3" s="4">
        <f>INDEX('All Facts'!I:I,MATCH(Recipie!$B3,'All Facts'!$B:$B,0),1)/INDEX('All Facts'!$F:$F,MATCH(Recipie!$B3,'All Facts'!$B:$B,0),1)*$C3</f>
        <v>55.618989118953515</v>
      </c>
      <c r="G3" s="4">
        <f>INDEX('All Facts'!J:J,MATCH(Recipie!$B3,'All Facts'!$B:$B,0),1)/INDEX('All Facts'!$F:$F,MATCH(Recipie!$B3,'All Facts'!$B:$B,0),1)*$C3</f>
        <v>4.8364338364307402</v>
      </c>
      <c r="H3" s="4">
        <f>INDEX('All Facts'!K:K,MATCH(Recipie!$B3,'All Facts'!$B:$B,0),1)/INDEX('All Facts'!$F:$F,MATCH(Recipie!$B3,'All Facts'!$B:$B,0),1)*$C3</f>
        <v>0</v>
      </c>
      <c r="I3" s="4">
        <f>INDEX('All Facts'!L:L,MATCH(Recipie!$B3,'All Facts'!$B:$B,0),1)/INDEX('All Facts'!$F:$F,MATCH(Recipie!$B3,'All Facts'!$B:$B,0),1)*$C3</f>
        <v>0</v>
      </c>
      <c r="J3" s="4">
        <f>INDEX('All Facts'!M:M,MATCH(Recipie!$B3,'All Facts'!$B:$B,0),1)/INDEX('All Facts'!$F:$F,MATCH(Recipie!$B3,'All Facts'!$B:$B,0),1)*$C3</f>
        <v>0</v>
      </c>
      <c r="K3" s="4">
        <f>INDEX('All Facts'!N:N,MATCH(Recipie!$B3,'All Facts'!$B:$B,0),1)/INDEX('All Facts'!$F:$F,MATCH(Recipie!$B3,'All Facts'!$B:$B,0),1)*$C3</f>
        <v>0</v>
      </c>
      <c r="L3" s="4">
        <f>INDEX('All Facts'!O:O,MATCH(Recipie!$B3,'All Facts'!$B:$B,0),1)/INDEX('All Facts'!$F:$F,MATCH(Recipie!$B3,'All Facts'!$B:$B,0),1)*$C3</f>
        <v>0</v>
      </c>
      <c r="M3" s="4">
        <f>INDEX('All Facts'!P:P,MATCH(Recipie!$B3,'All Facts'!$B:$B,0),1)/INDEX('All Facts'!$F:$F,MATCH(Recipie!$B3,'All Facts'!$B:$B,0),1)*$C3</f>
        <v>0</v>
      </c>
      <c r="N3" s="4">
        <f>INDEX('All Facts'!Q:Q,MATCH(Recipie!$B3,'All Facts'!$B:$B,0),1)/INDEX('All Facts'!$F:$F,MATCH(Recipie!$B3,'All Facts'!$B:$B,0),1)*$C3</f>
        <v>0</v>
      </c>
      <c r="O3" s="4">
        <f>INDEX('All Facts'!R:R,MATCH(Recipie!$B3,'All Facts'!$B:$B,0),1)/INDEX('All Facts'!$F:$F,MATCH(Recipie!$B3,'All Facts'!$B:$B,0),1)*$C3</f>
        <v>3.1436819936799809</v>
      </c>
      <c r="P3" s="4">
        <f>INDEX('All Facts'!S:S,MATCH(Recipie!$B3,'All Facts'!$B:$B,0),1)/INDEX('All Facts'!$F:$F,MATCH(Recipie!$B3,'All Facts'!$B:$B,0),1)*$C3</f>
        <v>72.5465075464611</v>
      </c>
      <c r="Q3" s="4">
        <f>INDEX('All Facts'!T:T,MATCH(Recipie!$B3,'All Facts'!$B:$B,0),1)/INDEX('All Facts'!$F:$F,MATCH(Recipie!$B3,'All Facts'!$B:$B,0),1)*$C3</f>
        <v>0</v>
      </c>
      <c r="R3" s="4">
        <f>INDEX('All Facts'!U:U,MATCH(Recipie!$B3,'All Facts'!$B:$B,0),1)/INDEX('All Facts'!$F:$F,MATCH(Recipie!$B3,'All Facts'!$B:$B,0),1)*$C3</f>
        <v>0</v>
      </c>
      <c r="S3" s="4">
        <f>INDEX('All Facts'!V:V,MATCH(Recipie!$B3,'All Facts'!$B:$B,0),1)/INDEX('All Facts'!$F:$F,MATCH(Recipie!$B3,'All Facts'!$B:$B,0),1)*$C3</f>
        <v>0</v>
      </c>
      <c r="T3" s="4">
        <f>INDEX('All Facts'!W:W,MATCH(Recipie!$B3,'All Facts'!$B:$B,0),1)/INDEX('All Facts'!$F:$F,MATCH(Recipie!$B3,'All Facts'!$B:$B,0),1)*$C3</f>
        <v>0</v>
      </c>
      <c r="U3" s="4">
        <f>INDEX('All Facts'!X:X,MATCH(Recipie!$B3,'All Facts'!$B:$B,0),1)/INDEX('All Facts'!$F:$F,MATCH(Recipie!$B3,'All Facts'!$B:$B,0),1)*$C3</f>
        <v>120.9108459107685</v>
      </c>
      <c r="V3" s="4">
        <f>INDEX('All Facts'!Y:Y,MATCH(Recipie!$B3,'All Facts'!$B:$B,0),1)/INDEX('All Facts'!$F:$F,MATCH(Recipie!$B3,'All Facts'!$B:$B,0),1)*$C3</f>
        <v>3.3855036855015177</v>
      </c>
      <c r="W3" s="4">
        <f>INDEX('All Facts'!Z:Z,MATCH(Recipie!$B3,'All Facts'!$B:$B,0),1)/INDEX('All Facts'!$F:$F,MATCH(Recipie!$B3,'All Facts'!$B:$B,0),1)*$C3</f>
        <v>0.53200772200738145</v>
      </c>
      <c r="AA3" s="4" t="s">
        <v>42</v>
      </c>
      <c r="AB3" s="2" t="s">
        <v>37</v>
      </c>
      <c r="AC3">
        <v>60</v>
      </c>
      <c r="AD3" s="4" t="s">
        <v>21</v>
      </c>
      <c r="AE3">
        <v>560</v>
      </c>
    </row>
    <row r="4" spans="1:31" s="4" customFormat="1" ht="30" x14ac:dyDescent="0.25">
      <c r="A4" s="4" t="s">
        <v>42</v>
      </c>
      <c r="B4" s="4" t="s">
        <v>21</v>
      </c>
      <c r="C4" s="11">
        <f>Solver!C12</f>
        <v>677.1007371003036</v>
      </c>
      <c r="D4" s="4">
        <f>INDEX('All Facts'!G:G,MATCH(Recipie!$B4,'All Facts'!$B:$B,0),1)/INDEX('All Facts'!$F:$F,MATCH(Recipie!$B4,'All Facts'!$B:$B,0),1)*$C4</f>
        <v>665.00965250922673</v>
      </c>
      <c r="E4" s="4">
        <f>INDEX('All Facts'!H:H,MATCH(Recipie!$B4,'All Facts'!$B:$B,0),1)/INDEX('All Facts'!$F:$F,MATCH(Recipie!$B4,'All Facts'!$B:$B,0),1)*$C4</f>
        <v>6.045542295538425</v>
      </c>
      <c r="F4" s="4">
        <f>INDEX('All Facts'!I:I,MATCH(Recipie!$B4,'All Facts'!$B:$B,0),1)/INDEX('All Facts'!$F:$F,MATCH(Recipie!$B4,'All Facts'!$B:$B,0),1)*$C4</f>
        <v>0</v>
      </c>
      <c r="G4" s="4">
        <f>INDEX('All Facts'!J:J,MATCH(Recipie!$B4,'All Facts'!$B:$B,0),1)/INDEX('All Facts'!$F:$F,MATCH(Recipie!$B4,'All Facts'!$B:$B,0),1)*$C4</f>
        <v>151.13855738846064</v>
      </c>
      <c r="H4" s="4">
        <f>INDEX('All Facts'!K:K,MATCH(Recipie!$B4,'All Facts'!$B:$B,0),1)/INDEX('All Facts'!$F:$F,MATCH(Recipie!$B4,'All Facts'!$B:$B,0),1)*$C4</f>
        <v>0</v>
      </c>
      <c r="I4" s="4">
        <f>INDEX('All Facts'!L:L,MATCH(Recipie!$B4,'All Facts'!$B:$B,0),1)/INDEX('All Facts'!$F:$F,MATCH(Recipie!$B4,'All Facts'!$B:$B,0),1)*$C4</f>
        <v>0</v>
      </c>
      <c r="J4" s="4">
        <f>INDEX('All Facts'!M:M,MATCH(Recipie!$B4,'All Facts'!$B:$B,0),1)/INDEX('All Facts'!$F:$F,MATCH(Recipie!$B4,'All Facts'!$B:$B,0),1)*$C4</f>
        <v>0</v>
      </c>
      <c r="K4" s="4">
        <f>INDEX('All Facts'!N:N,MATCH(Recipie!$B4,'All Facts'!$B:$B,0),1)/INDEX('All Facts'!$F:$F,MATCH(Recipie!$B4,'All Facts'!$B:$B,0),1)*$C4</f>
        <v>483.643383643074</v>
      </c>
      <c r="L4" s="4">
        <f>INDEX('All Facts'!O:O,MATCH(Recipie!$B4,'All Facts'!$B:$B,0),1)/INDEX('All Facts'!$F:$F,MATCH(Recipie!$B4,'All Facts'!$B:$B,0),1)*$C4</f>
        <v>453.41567216538186</v>
      </c>
      <c r="M4" s="4">
        <f>INDEX('All Facts'!P:P,MATCH(Recipie!$B4,'All Facts'!$B:$B,0),1)/INDEX('All Facts'!$F:$F,MATCH(Recipie!$B4,'All Facts'!$B:$B,0),1)*$C4</f>
        <v>0</v>
      </c>
      <c r="N4" s="4">
        <f>INDEX('All Facts'!Q:Q,MATCH(Recipie!$B4,'All Facts'!$B:$B,0),1)/INDEX('All Facts'!$F:$F,MATCH(Recipie!$B4,'All Facts'!$B:$B,0),1)*$C4</f>
        <v>0</v>
      </c>
      <c r="O4" s="4">
        <f>INDEX('All Facts'!R:R,MATCH(Recipie!$B4,'All Facts'!$B:$B,0),1)/INDEX('All Facts'!$F:$F,MATCH(Recipie!$B4,'All Facts'!$B:$B,0),1)*$C4</f>
        <v>2.1763952263938329</v>
      </c>
      <c r="P4" s="4">
        <f>INDEX('All Facts'!S:S,MATCH(Recipie!$B4,'All Facts'!$B:$B,0),1)/INDEX('All Facts'!$F:$F,MATCH(Recipie!$B4,'All Facts'!$B:$B,0),1)*$C4</f>
        <v>0</v>
      </c>
      <c r="Q4" s="4">
        <f>INDEX('All Facts'!T:T,MATCH(Recipie!$B4,'All Facts'!$B:$B,0),1)/INDEX('All Facts'!$F:$F,MATCH(Recipie!$B4,'All Facts'!$B:$B,0),1)*$C4</f>
        <v>0</v>
      </c>
      <c r="R4" s="4">
        <f>INDEX('All Facts'!U:U,MATCH(Recipie!$B4,'All Facts'!$B:$B,0),1)/INDEX('All Facts'!$F:$F,MATCH(Recipie!$B4,'All Facts'!$B:$B,0),1)*$C4</f>
        <v>0</v>
      </c>
      <c r="S4" s="4">
        <f>INDEX('All Facts'!V:V,MATCH(Recipie!$B4,'All Facts'!$B:$B,0),1)/INDEX('All Facts'!$F:$F,MATCH(Recipie!$B4,'All Facts'!$B:$B,0),1)*$C4</f>
        <v>0</v>
      </c>
      <c r="T4" s="4">
        <f>INDEX('All Facts'!W:W,MATCH(Recipie!$B4,'All Facts'!$B:$B,0),1)/INDEX('All Facts'!$F:$F,MATCH(Recipie!$B4,'All Facts'!$B:$B,0),1)*$C4</f>
        <v>0</v>
      </c>
      <c r="U4" s="4">
        <f>INDEX('All Facts'!X:X,MATCH(Recipie!$B4,'All Facts'!$B:$B,0),1)/INDEX('All Facts'!$F:$F,MATCH(Recipie!$B4,'All Facts'!$B:$B,0),1)*$C4</f>
        <v>0</v>
      </c>
      <c r="V4" s="4">
        <f>INDEX('All Facts'!Y:Y,MATCH(Recipie!$B4,'All Facts'!$B:$B,0),1)/INDEX('All Facts'!$F:$F,MATCH(Recipie!$B4,'All Facts'!$B:$B,0),1)*$C4</f>
        <v>0</v>
      </c>
      <c r="W4" s="4">
        <f>INDEX('All Facts'!Z:Z,MATCH(Recipie!$B4,'All Facts'!$B:$B,0),1)/INDEX('All Facts'!$F:$F,MATCH(Recipie!$B4,'All Facts'!$B:$B,0),1)*$C4</f>
        <v>0</v>
      </c>
      <c r="AA4" s="4" t="s">
        <v>54</v>
      </c>
      <c r="AB4" s="2" t="s">
        <v>35</v>
      </c>
      <c r="AC4">
        <v>50</v>
      </c>
      <c r="AD4" s="3" t="s">
        <v>23</v>
      </c>
      <c r="AE4">
        <v>450</v>
      </c>
    </row>
    <row r="5" spans="1:31" s="4" customFormat="1" ht="45" x14ac:dyDescent="0.25">
      <c r="A5" s="4" t="s">
        <v>42</v>
      </c>
      <c r="B5" s="4" t="s">
        <v>45</v>
      </c>
      <c r="C5" s="4">
        <f>SUM(C2:C4)</f>
        <v>849.64724464676465</v>
      </c>
      <c r="D5" s="4">
        <f t="shared" ref="D5:W5" si="0">SUM(D2:D4)</f>
        <v>1071.0135135129174</v>
      </c>
      <c r="E5" s="4">
        <f t="shared" si="0"/>
        <v>16.045542295538425</v>
      </c>
      <c r="F5" s="4">
        <f t="shared" si="0"/>
        <v>55.618989118953515</v>
      </c>
      <c r="G5" s="4">
        <f t="shared" si="0"/>
        <v>167.97499122489137</v>
      </c>
      <c r="H5" s="4">
        <f t="shared" si="0"/>
        <v>3</v>
      </c>
      <c r="I5" s="4">
        <f t="shared" si="0"/>
        <v>0</v>
      </c>
      <c r="J5" s="4">
        <f t="shared" si="0"/>
        <v>0</v>
      </c>
      <c r="K5" s="4">
        <f t="shared" si="0"/>
        <v>853.643383643074</v>
      </c>
      <c r="L5" s="4">
        <f t="shared" si="0"/>
        <v>593.41567216538192</v>
      </c>
      <c r="M5" s="4">
        <f t="shared" si="0"/>
        <v>2</v>
      </c>
      <c r="N5" s="4">
        <f t="shared" si="0"/>
        <v>60</v>
      </c>
      <c r="O5" s="4">
        <f t="shared" si="0"/>
        <v>7.1200772200738136</v>
      </c>
      <c r="P5" s="4">
        <f t="shared" si="0"/>
        <v>72.5465075464611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120.9108459107685</v>
      </c>
      <c r="V5" s="4">
        <f t="shared" si="0"/>
        <v>3.3855036855015177</v>
      </c>
      <c r="W5" s="4">
        <f t="shared" si="0"/>
        <v>0.53200772200738145</v>
      </c>
      <c r="AA5" s="4" t="s">
        <v>54</v>
      </c>
      <c r="AB5" s="2" t="s">
        <v>37</v>
      </c>
      <c r="AC5">
        <f>('All Facts'!F10*4)/3</f>
        <v>40</v>
      </c>
      <c r="AD5" s="3" t="s">
        <v>23</v>
      </c>
      <c r="AE5">
        <v>680</v>
      </c>
    </row>
    <row r="7" spans="1:31" ht="45" x14ac:dyDescent="0.25">
      <c r="B7" s="4" t="s">
        <v>43</v>
      </c>
      <c r="C7" s="4" t="s">
        <v>55</v>
      </c>
    </row>
    <row r="8" spans="1:31" ht="30" x14ac:dyDescent="0.25">
      <c r="A8" s="4" t="s">
        <v>54</v>
      </c>
      <c r="B8" s="4" t="s">
        <v>35</v>
      </c>
      <c r="C8" s="4">
        <f>MROUND(AC4/AE4*C10,AC4)</f>
        <v>150</v>
      </c>
      <c r="D8" s="4">
        <f>INDEX('All Facts'!G:G,MATCH(Recipie!$B8,'All Facts'!$B:$B,0),1)/INDEX('All Facts'!$F:$F,MATCH(Recipie!$B8,'All Facts'!$B:$B,0),1)*$C8</f>
        <v>210</v>
      </c>
      <c r="E8" s="4">
        <f>INDEX('All Facts'!H:H,MATCH(Recipie!$B8,'All Facts'!$B:$B,0),1)/INDEX('All Facts'!$F:$F,MATCH(Recipie!$B8,'All Facts'!$B:$B,0),1)*$C8</f>
        <v>15</v>
      </c>
      <c r="F8" s="4">
        <f>INDEX('All Facts'!I:I,MATCH(Recipie!$B8,'All Facts'!$B:$B,0),1)/INDEX('All Facts'!$F:$F,MATCH(Recipie!$B8,'All Facts'!$B:$B,0),1)*$C8</f>
        <v>0</v>
      </c>
      <c r="G8" s="4">
        <f>INDEX('All Facts'!J:J,MATCH(Recipie!$B8,'All Facts'!$B:$B,0),1)/INDEX('All Facts'!$F:$F,MATCH(Recipie!$B8,'All Facts'!$B:$B,0),1)*$C8</f>
        <v>18</v>
      </c>
      <c r="H8" s="4">
        <f>INDEX('All Facts'!K:K,MATCH(Recipie!$B8,'All Facts'!$B:$B,0),1)/INDEX('All Facts'!$F:$F,MATCH(Recipie!$B8,'All Facts'!$B:$B,0),1)*$C8</f>
        <v>4.5</v>
      </c>
      <c r="I8" s="4">
        <f>INDEX('All Facts'!L:L,MATCH(Recipie!$B8,'All Facts'!$B:$B,0),1)/INDEX('All Facts'!$F:$F,MATCH(Recipie!$B8,'All Facts'!$B:$B,0),1)*$C8</f>
        <v>0</v>
      </c>
      <c r="J8" s="4">
        <f>INDEX('All Facts'!M:M,MATCH(Recipie!$B8,'All Facts'!$B:$B,0),1)/INDEX('All Facts'!$F:$F,MATCH(Recipie!$B8,'All Facts'!$B:$B,0),1)*$C8</f>
        <v>0</v>
      </c>
      <c r="K8" s="4">
        <f>INDEX('All Facts'!N:N,MATCH(Recipie!$B8,'All Facts'!$B:$B,0),1)/INDEX('All Facts'!$F:$F,MATCH(Recipie!$B8,'All Facts'!$B:$B,0),1)*$C8</f>
        <v>555</v>
      </c>
      <c r="L8" s="4">
        <f>INDEX('All Facts'!O:O,MATCH(Recipie!$B8,'All Facts'!$B:$B,0),1)/INDEX('All Facts'!$F:$F,MATCH(Recipie!$B8,'All Facts'!$B:$B,0),1)*$C8</f>
        <v>210</v>
      </c>
      <c r="M8" s="4">
        <f>INDEX('All Facts'!P:P,MATCH(Recipie!$B8,'All Facts'!$B:$B,0),1)/INDEX('All Facts'!$F:$F,MATCH(Recipie!$B8,'All Facts'!$B:$B,0),1)*$C8</f>
        <v>3</v>
      </c>
      <c r="N8" s="4">
        <f>INDEX('All Facts'!Q:Q,MATCH(Recipie!$B8,'All Facts'!$B:$B,0),1)/INDEX('All Facts'!$F:$F,MATCH(Recipie!$B8,'All Facts'!$B:$B,0),1)*$C8</f>
        <v>90</v>
      </c>
      <c r="O8" s="4">
        <f>INDEX('All Facts'!R:R,MATCH(Recipie!$B8,'All Facts'!$B:$B,0),1)/INDEX('All Facts'!$F:$F,MATCH(Recipie!$B8,'All Facts'!$B:$B,0),1)*$C8</f>
        <v>2.7</v>
      </c>
      <c r="P8" s="4">
        <f>INDEX('All Facts'!S:S,MATCH(Recipie!$B8,'All Facts'!$B:$B,0),1)/INDEX('All Facts'!$F:$F,MATCH(Recipie!$B8,'All Facts'!$B:$B,0),1)*$C8</f>
        <v>0</v>
      </c>
      <c r="Q8" s="4">
        <f>INDEX('All Facts'!T:T,MATCH(Recipie!$B8,'All Facts'!$B:$B,0),1)/INDEX('All Facts'!$F:$F,MATCH(Recipie!$B8,'All Facts'!$B:$B,0),1)*$C8</f>
        <v>0</v>
      </c>
      <c r="R8" s="4">
        <f>INDEX('All Facts'!U:U,MATCH(Recipie!$B8,'All Facts'!$B:$B,0),1)/INDEX('All Facts'!$F:$F,MATCH(Recipie!$B8,'All Facts'!$B:$B,0),1)*$C8</f>
        <v>0</v>
      </c>
      <c r="S8" s="4">
        <f>INDEX('All Facts'!V:V,MATCH(Recipie!$B8,'All Facts'!$B:$B,0),1)/INDEX('All Facts'!$F:$F,MATCH(Recipie!$B8,'All Facts'!$B:$B,0),1)*$C8</f>
        <v>0</v>
      </c>
      <c r="T8" s="4">
        <f>INDEX('All Facts'!W:W,MATCH(Recipie!$B8,'All Facts'!$B:$B,0),1)/INDEX('All Facts'!$F:$F,MATCH(Recipie!$B8,'All Facts'!$B:$B,0),1)*$C8</f>
        <v>0</v>
      </c>
      <c r="U8" s="4">
        <f>INDEX('All Facts'!X:X,MATCH(Recipie!$B8,'All Facts'!$B:$B,0),1)/INDEX('All Facts'!$F:$F,MATCH(Recipie!$B8,'All Facts'!$B:$B,0),1)*$C8</f>
        <v>0</v>
      </c>
      <c r="V8" s="4">
        <f>INDEX('All Facts'!Y:Y,MATCH(Recipie!$B8,'All Facts'!$B:$B,0),1)/INDEX('All Facts'!$F:$F,MATCH(Recipie!$B8,'All Facts'!$B:$B,0),1)*$C8</f>
        <v>0</v>
      </c>
      <c r="W8" s="4">
        <f>INDEX('All Facts'!Z:Z,MATCH(Recipie!$B8,'All Facts'!$B:$B,0),1)/INDEX('All Facts'!$F:$F,MATCH(Recipie!$B8,'All Facts'!$B:$B,0),1)*$C8</f>
        <v>0</v>
      </c>
      <c r="Y8" s="2"/>
    </row>
    <row r="9" spans="1:31" ht="45" x14ac:dyDescent="0.25">
      <c r="A9" s="4" t="s">
        <v>54</v>
      </c>
      <c r="B9" s="4" t="s">
        <v>37</v>
      </c>
      <c r="C9" s="10">
        <f>AC5/AE5*C10</f>
        <v>66.176470589464188</v>
      </c>
      <c r="D9" s="4">
        <f>INDEX('All Facts'!G:G,MATCH(Recipie!$B9,'All Facts'!$B:$B,0),1)/INDEX('All Facts'!$F:$F,MATCH(Recipie!$B9,'All Facts'!$B:$B,0),1)*$C9</f>
        <v>242.64705882803534</v>
      </c>
      <c r="E9" s="4">
        <f>INDEX('All Facts'!H:H,MATCH(Recipie!$B9,'All Facts'!$B:$B,0),1)/INDEX('All Facts'!$F:$F,MATCH(Recipie!$B9,'All Facts'!$B:$B,0),1)*$C9</f>
        <v>0</v>
      </c>
      <c r="F9" s="4">
        <f>INDEX('All Facts'!I:I,MATCH(Recipie!$B9,'All Facts'!$B:$B,0),1)/INDEX('All Facts'!$F:$F,MATCH(Recipie!$B9,'All Facts'!$B:$B,0),1)*$C9</f>
        <v>50.735294118589216</v>
      </c>
      <c r="G9" s="4">
        <f>INDEX('All Facts'!J:J,MATCH(Recipie!$B9,'All Facts'!$B:$B,0),1)/INDEX('All Facts'!$F:$F,MATCH(Recipie!$B9,'All Facts'!$B:$B,0),1)*$C9</f>
        <v>4.4117647059642788</v>
      </c>
      <c r="H9" s="4">
        <f>INDEX('All Facts'!K:K,MATCH(Recipie!$B9,'All Facts'!$B:$B,0),1)/INDEX('All Facts'!$F:$F,MATCH(Recipie!$B9,'All Facts'!$B:$B,0),1)*$C9</f>
        <v>0</v>
      </c>
      <c r="I9" s="4">
        <f>INDEX('All Facts'!L:L,MATCH(Recipie!$B9,'All Facts'!$B:$B,0),1)/INDEX('All Facts'!$F:$F,MATCH(Recipie!$B9,'All Facts'!$B:$B,0),1)*$C9</f>
        <v>0</v>
      </c>
      <c r="J9" s="4">
        <f>INDEX('All Facts'!M:M,MATCH(Recipie!$B9,'All Facts'!$B:$B,0),1)/INDEX('All Facts'!$F:$F,MATCH(Recipie!$B9,'All Facts'!$B:$B,0),1)*$C9</f>
        <v>0</v>
      </c>
      <c r="K9" s="4">
        <f>INDEX('All Facts'!N:N,MATCH(Recipie!$B9,'All Facts'!$B:$B,0),1)/INDEX('All Facts'!$F:$F,MATCH(Recipie!$B9,'All Facts'!$B:$B,0),1)*$C9</f>
        <v>0</v>
      </c>
      <c r="L9" s="4">
        <f>INDEX('All Facts'!O:O,MATCH(Recipie!$B9,'All Facts'!$B:$B,0),1)/INDEX('All Facts'!$F:$F,MATCH(Recipie!$B9,'All Facts'!$B:$B,0),1)*$C9</f>
        <v>0</v>
      </c>
      <c r="M9" s="4">
        <f>INDEX('All Facts'!P:P,MATCH(Recipie!$B9,'All Facts'!$B:$B,0),1)/INDEX('All Facts'!$F:$F,MATCH(Recipie!$B9,'All Facts'!$B:$B,0),1)*$C9</f>
        <v>0</v>
      </c>
      <c r="N9" s="4">
        <f>INDEX('All Facts'!Q:Q,MATCH(Recipie!$B9,'All Facts'!$B:$B,0),1)/INDEX('All Facts'!$F:$F,MATCH(Recipie!$B9,'All Facts'!$B:$B,0),1)*$C9</f>
        <v>0</v>
      </c>
      <c r="O9" s="4">
        <f>INDEX('All Facts'!R:R,MATCH(Recipie!$B9,'All Facts'!$B:$B,0),1)/INDEX('All Facts'!$F:$F,MATCH(Recipie!$B9,'All Facts'!$B:$B,0),1)*$C9</f>
        <v>2.8676470588767815</v>
      </c>
      <c r="P9" s="4">
        <f>INDEX('All Facts'!S:S,MATCH(Recipie!$B9,'All Facts'!$B:$B,0),1)/INDEX('All Facts'!$F:$F,MATCH(Recipie!$B9,'All Facts'!$B:$B,0),1)*$C9</f>
        <v>66.176470589464188</v>
      </c>
      <c r="Q9" s="4">
        <f>INDEX('All Facts'!T:T,MATCH(Recipie!$B9,'All Facts'!$B:$B,0),1)/INDEX('All Facts'!$F:$F,MATCH(Recipie!$B9,'All Facts'!$B:$B,0),1)*$C9</f>
        <v>0</v>
      </c>
      <c r="R9" s="4">
        <f>INDEX('All Facts'!U:U,MATCH(Recipie!$B9,'All Facts'!$B:$B,0),1)/INDEX('All Facts'!$F:$F,MATCH(Recipie!$B9,'All Facts'!$B:$B,0),1)*$C9</f>
        <v>0</v>
      </c>
      <c r="S9" s="4">
        <f>INDEX('All Facts'!V:V,MATCH(Recipie!$B9,'All Facts'!$B:$B,0),1)/INDEX('All Facts'!$F:$F,MATCH(Recipie!$B9,'All Facts'!$B:$B,0),1)*$C9</f>
        <v>0</v>
      </c>
      <c r="T9" s="4">
        <f>INDEX('All Facts'!W:W,MATCH(Recipie!$B9,'All Facts'!$B:$B,0),1)/INDEX('All Facts'!$F:$F,MATCH(Recipie!$B9,'All Facts'!$B:$B,0),1)*$C9</f>
        <v>0</v>
      </c>
      <c r="U9" s="4">
        <f>INDEX('All Facts'!X:X,MATCH(Recipie!$B9,'All Facts'!$B:$B,0),1)/INDEX('All Facts'!$F:$F,MATCH(Recipie!$B9,'All Facts'!$B:$B,0),1)*$C9</f>
        <v>110.29411764910698</v>
      </c>
      <c r="V9" s="4">
        <f>INDEX('All Facts'!Y:Y,MATCH(Recipie!$B9,'All Facts'!$B:$B,0),1)/INDEX('All Facts'!$F:$F,MATCH(Recipie!$B9,'All Facts'!$B:$B,0),1)*$C9</f>
        <v>3.0882352941749951</v>
      </c>
      <c r="W9" s="4">
        <f>INDEX('All Facts'!Z:Z,MATCH(Recipie!$B9,'All Facts'!$B:$B,0),1)/INDEX('All Facts'!$F:$F,MATCH(Recipie!$B9,'All Facts'!$B:$B,0),1)*$C9</f>
        <v>0.48529411765607072</v>
      </c>
      <c r="X9" s="2"/>
    </row>
    <row r="10" spans="1:31" ht="105" x14ac:dyDescent="0.25">
      <c r="A10" s="4" t="s">
        <v>54</v>
      </c>
      <c r="B10" s="4" t="s">
        <v>23</v>
      </c>
      <c r="C10" s="11">
        <f>Solver!C9</f>
        <v>1125.0000000208911</v>
      </c>
      <c r="D10" s="4">
        <f>INDEX('All Facts'!G:G,MATCH(Recipie!$B10,'All Facts'!$B:$B,0),1)/INDEX('All Facts'!$F:$F,MATCH(Recipie!$B10,'All Facts'!$B:$B,0),1)*$C10</f>
        <v>595.58823530517759</v>
      </c>
      <c r="E10" s="4">
        <f>INDEX('All Facts'!H:H,MATCH(Recipie!$B10,'All Facts'!$B:$B,0),1)/INDEX('All Facts'!$F:$F,MATCH(Recipie!$B10,'All Facts'!$B:$B,0),1)*$C10</f>
        <v>0</v>
      </c>
      <c r="F10" s="4">
        <f>INDEX('All Facts'!I:I,MATCH(Recipie!$B10,'All Facts'!$B:$B,0),1)/INDEX('All Facts'!$F:$F,MATCH(Recipie!$B10,'All Facts'!$B:$B,0),1)*$C10</f>
        <v>0</v>
      </c>
      <c r="G10" s="4">
        <f>INDEX('All Facts'!J:J,MATCH(Recipie!$B10,'All Facts'!$B:$B,0),1)/INDEX('All Facts'!$F:$F,MATCH(Recipie!$B10,'All Facts'!$B:$B,0),1)*$C10</f>
        <v>145.58823529682121</v>
      </c>
      <c r="H10" s="4">
        <f>INDEX('All Facts'!K:K,MATCH(Recipie!$B10,'All Facts'!$B:$B,0),1)/INDEX('All Facts'!$F:$F,MATCH(Recipie!$B10,'All Facts'!$B:$B,0),1)*$C10</f>
        <v>0</v>
      </c>
      <c r="I10" s="4">
        <f>INDEX('All Facts'!L:L,MATCH(Recipie!$B10,'All Facts'!$B:$B,0),1)/INDEX('All Facts'!$F:$F,MATCH(Recipie!$B10,'All Facts'!$B:$B,0),1)*$C10</f>
        <v>0</v>
      </c>
      <c r="J10" s="4">
        <f>INDEX('All Facts'!M:M,MATCH(Recipie!$B10,'All Facts'!$B:$B,0),1)/INDEX('All Facts'!$F:$F,MATCH(Recipie!$B10,'All Facts'!$B:$B,0),1)*$C10</f>
        <v>0</v>
      </c>
      <c r="K10" s="4">
        <f>INDEX('All Facts'!N:N,MATCH(Recipie!$B10,'All Facts'!$B:$B,0),1)/INDEX('All Facts'!$F:$F,MATCH(Recipie!$B10,'All Facts'!$B:$B,0),1)*$C10</f>
        <v>1588.2352941471404</v>
      </c>
      <c r="L10" s="4">
        <f>INDEX('All Facts'!O:O,MATCH(Recipie!$B10,'All Facts'!$B:$B,0),1)/INDEX('All Facts'!$F:$F,MATCH(Recipie!$B10,'All Facts'!$B:$B,0),1)*$C10</f>
        <v>5294.1176471571343</v>
      </c>
      <c r="M10" s="4">
        <f>INDEX('All Facts'!P:P,MATCH(Recipie!$B10,'All Facts'!$B:$B,0),1)/INDEX('All Facts'!$F:$F,MATCH(Recipie!$B10,'All Facts'!$B:$B,0),1)*$C10</f>
        <v>0</v>
      </c>
      <c r="N10" s="4">
        <f>INDEX('All Facts'!Q:Q,MATCH(Recipie!$B10,'All Facts'!$B:$B,0),1)/INDEX('All Facts'!$F:$F,MATCH(Recipie!$B10,'All Facts'!$B:$B,0),1)*$C10</f>
        <v>0</v>
      </c>
      <c r="O10" s="4">
        <f>INDEX('All Facts'!R:R,MATCH(Recipie!$B10,'All Facts'!$B:$B,0),1)/INDEX('All Facts'!$F:$F,MATCH(Recipie!$B10,'All Facts'!$B:$B,0),1)*$C10</f>
        <v>0</v>
      </c>
      <c r="P10" s="4">
        <f>INDEX('All Facts'!S:S,MATCH(Recipie!$B10,'All Facts'!$B:$B,0),1)/INDEX('All Facts'!$F:$F,MATCH(Recipie!$B10,'All Facts'!$B:$B,0),1)*$C10</f>
        <v>0</v>
      </c>
      <c r="Q10" s="4">
        <f>INDEX('All Facts'!T:T,MATCH(Recipie!$B10,'All Facts'!$B:$B,0),1)/INDEX('All Facts'!$F:$F,MATCH(Recipie!$B10,'All Facts'!$B:$B,0),1)*$C10</f>
        <v>0</v>
      </c>
      <c r="R10" s="4">
        <f>INDEX('All Facts'!U:U,MATCH(Recipie!$B10,'All Facts'!$B:$B,0),1)/INDEX('All Facts'!$F:$F,MATCH(Recipie!$B10,'All Facts'!$B:$B,0),1)*$C10</f>
        <v>0</v>
      </c>
      <c r="S10" s="4">
        <f>INDEX('All Facts'!V:V,MATCH(Recipie!$B10,'All Facts'!$B:$B,0),1)/INDEX('All Facts'!$F:$F,MATCH(Recipie!$B10,'All Facts'!$B:$B,0),1)*$C10</f>
        <v>0</v>
      </c>
      <c r="T10" s="4">
        <f>INDEX('All Facts'!W:W,MATCH(Recipie!$B10,'All Facts'!$B:$B,0),1)/INDEX('All Facts'!$F:$F,MATCH(Recipie!$B10,'All Facts'!$B:$B,0),1)*$C10</f>
        <v>0</v>
      </c>
      <c r="U10" s="4">
        <f>INDEX('All Facts'!X:X,MATCH(Recipie!$B10,'All Facts'!$B:$B,0),1)/INDEX('All Facts'!$F:$F,MATCH(Recipie!$B10,'All Facts'!$B:$B,0),1)*$C10</f>
        <v>0</v>
      </c>
      <c r="V10" s="4">
        <f>INDEX('All Facts'!Y:Y,MATCH(Recipie!$B10,'All Facts'!$B:$B,0),1)/INDEX('All Facts'!$F:$F,MATCH(Recipie!$B10,'All Facts'!$B:$B,0),1)*$C10</f>
        <v>0</v>
      </c>
      <c r="W10" s="4">
        <f>INDEX('All Facts'!Z:Z,MATCH(Recipie!$B10,'All Facts'!$B:$B,0),1)/INDEX('All Facts'!$F:$F,MATCH(Recipie!$B10,'All Facts'!$B:$B,0),1)*$C10</f>
        <v>0</v>
      </c>
    </row>
    <row r="11" spans="1:31" x14ac:dyDescent="0.25">
      <c r="A11" s="4" t="s">
        <v>54</v>
      </c>
      <c r="B11" s="4" t="s">
        <v>45</v>
      </c>
      <c r="C11" s="4">
        <f>SUM(C8:C10)</f>
        <v>1341.1764706103554</v>
      </c>
      <c r="D11" s="4">
        <f t="shared" ref="D11:W11" si="1">SUM(D8:D10)</f>
        <v>1048.2352941332128</v>
      </c>
      <c r="E11" s="4">
        <f t="shared" si="1"/>
        <v>15</v>
      </c>
      <c r="F11" s="4">
        <f t="shared" si="1"/>
        <v>50.735294118589216</v>
      </c>
      <c r="G11" s="4">
        <f t="shared" si="1"/>
        <v>168.0000000027855</v>
      </c>
      <c r="H11" s="4">
        <f t="shared" si="1"/>
        <v>4.5</v>
      </c>
      <c r="I11" s="4">
        <f t="shared" si="1"/>
        <v>0</v>
      </c>
      <c r="J11" s="4">
        <f t="shared" si="1"/>
        <v>0</v>
      </c>
      <c r="K11" s="4">
        <f t="shared" si="1"/>
        <v>2143.2352941471404</v>
      </c>
      <c r="L11" s="4">
        <f t="shared" si="1"/>
        <v>5504.1176471571343</v>
      </c>
      <c r="M11" s="4">
        <f t="shared" si="1"/>
        <v>3</v>
      </c>
      <c r="N11" s="4">
        <f t="shared" si="1"/>
        <v>90</v>
      </c>
      <c r="O11" s="4">
        <f t="shared" si="1"/>
        <v>5.5676470588767817</v>
      </c>
      <c r="P11" s="4">
        <f t="shared" si="1"/>
        <v>66.176470589464188</v>
      </c>
      <c r="Q11" s="4">
        <f t="shared" si="1"/>
        <v>0</v>
      </c>
      <c r="R11" s="4">
        <f t="shared" si="1"/>
        <v>0</v>
      </c>
      <c r="S11" s="4">
        <f t="shared" si="1"/>
        <v>0</v>
      </c>
      <c r="T11" s="4">
        <f t="shared" si="1"/>
        <v>0</v>
      </c>
      <c r="U11" s="4">
        <f t="shared" si="1"/>
        <v>110.29411764910698</v>
      </c>
      <c r="V11" s="4">
        <f t="shared" si="1"/>
        <v>3.0882352941749951</v>
      </c>
      <c r="W11" s="4">
        <f t="shared" si="1"/>
        <v>0.48529411765607072</v>
      </c>
    </row>
    <row r="13" spans="1:31" ht="45" x14ac:dyDescent="0.25">
      <c r="B13" s="4" t="s">
        <v>43</v>
      </c>
      <c r="C13" s="4" t="s">
        <v>55</v>
      </c>
    </row>
    <row r="14" spans="1:31" ht="30" x14ac:dyDescent="0.25">
      <c r="A14" s="4" t="s">
        <v>58</v>
      </c>
      <c r="B14" s="4" t="s">
        <v>35</v>
      </c>
      <c r="C14" s="4">
        <f>MROUND(AC4/AE4*C16,AC4)</f>
        <v>150</v>
      </c>
      <c r="D14" s="4">
        <f>INDEX('All Facts'!G:G,MATCH(Recipie!$B14,'All Facts'!$B:$B,0),1)/INDEX('All Facts'!$F:$F,MATCH(Recipie!$B14,'All Facts'!$B:$B,0),1)*$C14</f>
        <v>210</v>
      </c>
      <c r="E14" s="4">
        <f>INDEX('All Facts'!H:H,MATCH(Recipie!$B14,'All Facts'!$B:$B,0),1)/INDEX('All Facts'!$F:$F,MATCH(Recipie!$B14,'All Facts'!$B:$B,0),1)*$C14</f>
        <v>15</v>
      </c>
      <c r="F14" s="4">
        <f>INDEX('All Facts'!I:I,MATCH(Recipie!$B14,'All Facts'!$B:$B,0),1)/INDEX('All Facts'!$F:$F,MATCH(Recipie!$B14,'All Facts'!$B:$B,0),1)*$C14</f>
        <v>0</v>
      </c>
      <c r="G14" s="4">
        <f>INDEX('All Facts'!J:J,MATCH(Recipie!$B14,'All Facts'!$B:$B,0),1)/INDEX('All Facts'!$F:$F,MATCH(Recipie!$B14,'All Facts'!$B:$B,0),1)*$C14</f>
        <v>18</v>
      </c>
      <c r="H14" s="4">
        <f>INDEX('All Facts'!K:K,MATCH(Recipie!$B14,'All Facts'!$B:$B,0),1)/INDEX('All Facts'!$F:$F,MATCH(Recipie!$B14,'All Facts'!$B:$B,0),1)*$C14</f>
        <v>4.5</v>
      </c>
      <c r="I14" s="4">
        <f>INDEX('All Facts'!L:L,MATCH(Recipie!$B14,'All Facts'!$B:$B,0),1)/INDEX('All Facts'!$F:$F,MATCH(Recipie!$B14,'All Facts'!$B:$B,0),1)*$C14</f>
        <v>0</v>
      </c>
      <c r="J14" s="4">
        <f>INDEX('All Facts'!M:M,MATCH(Recipie!$B14,'All Facts'!$B:$B,0),1)/INDEX('All Facts'!$F:$F,MATCH(Recipie!$B14,'All Facts'!$B:$B,0),1)*$C14</f>
        <v>0</v>
      </c>
      <c r="K14" s="4">
        <f>INDEX('All Facts'!N:N,MATCH(Recipie!$B14,'All Facts'!$B:$B,0),1)/INDEX('All Facts'!$F:$F,MATCH(Recipie!$B14,'All Facts'!$B:$B,0),1)*$C14</f>
        <v>555</v>
      </c>
      <c r="L14" s="4">
        <f>INDEX('All Facts'!O:O,MATCH(Recipie!$B14,'All Facts'!$B:$B,0),1)/INDEX('All Facts'!$F:$F,MATCH(Recipie!$B14,'All Facts'!$B:$B,0),1)*$C14</f>
        <v>210</v>
      </c>
      <c r="M14" s="4">
        <f>INDEX('All Facts'!P:P,MATCH(Recipie!$B14,'All Facts'!$B:$B,0),1)/INDEX('All Facts'!$F:$F,MATCH(Recipie!$B14,'All Facts'!$B:$B,0),1)*$C14</f>
        <v>3</v>
      </c>
      <c r="N14" s="4">
        <f>INDEX('All Facts'!Q:Q,MATCH(Recipie!$B14,'All Facts'!$B:$B,0),1)/INDEX('All Facts'!$F:$F,MATCH(Recipie!$B14,'All Facts'!$B:$B,0),1)*$C14</f>
        <v>90</v>
      </c>
      <c r="O14" s="4">
        <f>INDEX('All Facts'!R:R,MATCH(Recipie!$B14,'All Facts'!$B:$B,0),1)/INDEX('All Facts'!$F:$F,MATCH(Recipie!$B14,'All Facts'!$B:$B,0),1)*$C14</f>
        <v>2.7</v>
      </c>
      <c r="P14" s="4">
        <f>INDEX('All Facts'!S:S,MATCH(Recipie!$B14,'All Facts'!$B:$B,0),1)/INDEX('All Facts'!$F:$F,MATCH(Recipie!$B14,'All Facts'!$B:$B,0),1)*$C14</f>
        <v>0</v>
      </c>
      <c r="Q14" s="4">
        <f>INDEX('All Facts'!T:T,MATCH(Recipie!$B14,'All Facts'!$B:$B,0),1)/INDEX('All Facts'!$F:$F,MATCH(Recipie!$B14,'All Facts'!$B:$B,0),1)*$C14</f>
        <v>0</v>
      </c>
      <c r="R14" s="4">
        <f>INDEX('All Facts'!U:U,MATCH(Recipie!$B14,'All Facts'!$B:$B,0),1)/INDEX('All Facts'!$F:$F,MATCH(Recipie!$B14,'All Facts'!$B:$B,0),1)*$C14</f>
        <v>0</v>
      </c>
      <c r="S14" s="4">
        <f>INDEX('All Facts'!V:V,MATCH(Recipie!$B14,'All Facts'!$B:$B,0),1)/INDEX('All Facts'!$F:$F,MATCH(Recipie!$B14,'All Facts'!$B:$B,0),1)*$C14</f>
        <v>0</v>
      </c>
      <c r="T14" s="4">
        <f>INDEX('All Facts'!W:W,MATCH(Recipie!$B14,'All Facts'!$B:$B,0),1)/INDEX('All Facts'!$F:$F,MATCH(Recipie!$B14,'All Facts'!$B:$B,0),1)*$C14</f>
        <v>0</v>
      </c>
      <c r="U14" s="4">
        <f>INDEX('All Facts'!X:X,MATCH(Recipie!$B14,'All Facts'!$B:$B,0),1)/INDEX('All Facts'!$F:$F,MATCH(Recipie!$B14,'All Facts'!$B:$B,0),1)*$C14</f>
        <v>0</v>
      </c>
      <c r="V14" s="4">
        <f>INDEX('All Facts'!Y:Y,MATCH(Recipie!$B14,'All Facts'!$B:$B,0),1)/INDEX('All Facts'!$F:$F,MATCH(Recipie!$B14,'All Facts'!$B:$B,0),1)*$C14</f>
        <v>0</v>
      </c>
      <c r="W14" s="4">
        <f>INDEX('All Facts'!Z:Z,MATCH(Recipie!$B14,'All Facts'!$B:$B,0),1)/INDEX('All Facts'!$F:$F,MATCH(Recipie!$B14,'All Facts'!$B:$B,0),1)*$C14</f>
        <v>0</v>
      </c>
    </row>
    <row r="15" spans="1:31" ht="45" x14ac:dyDescent="0.25">
      <c r="A15" s="4" t="s">
        <v>58</v>
      </c>
      <c r="B15" s="4" t="s">
        <v>37</v>
      </c>
      <c r="C15" s="10">
        <f>AC5/AE5*C16</f>
        <v>66.176470589464188</v>
      </c>
      <c r="D15" s="4">
        <f>INDEX('All Facts'!G:G,MATCH(Recipie!$B15,'All Facts'!$B:$B,0),1)/INDEX('All Facts'!$F:$F,MATCH(Recipie!$B15,'All Facts'!$B:$B,0),1)*$C15</f>
        <v>242.64705882803534</v>
      </c>
      <c r="E15" s="4">
        <f>INDEX('All Facts'!H:H,MATCH(Recipie!$B15,'All Facts'!$B:$B,0),1)/INDEX('All Facts'!$F:$F,MATCH(Recipie!$B15,'All Facts'!$B:$B,0),1)*$C15</f>
        <v>0</v>
      </c>
      <c r="F15" s="4">
        <f>INDEX('All Facts'!I:I,MATCH(Recipie!$B15,'All Facts'!$B:$B,0),1)/INDEX('All Facts'!$F:$F,MATCH(Recipie!$B15,'All Facts'!$B:$B,0),1)*$C15</f>
        <v>50.735294118589216</v>
      </c>
      <c r="G15" s="4">
        <f>INDEX('All Facts'!J:J,MATCH(Recipie!$B15,'All Facts'!$B:$B,0),1)/INDEX('All Facts'!$F:$F,MATCH(Recipie!$B15,'All Facts'!$B:$B,0),1)*$C15</f>
        <v>4.4117647059642788</v>
      </c>
      <c r="H15" s="4">
        <f>INDEX('All Facts'!K:K,MATCH(Recipie!$B15,'All Facts'!$B:$B,0),1)/INDEX('All Facts'!$F:$F,MATCH(Recipie!$B15,'All Facts'!$B:$B,0),1)*$C15</f>
        <v>0</v>
      </c>
      <c r="I15" s="4">
        <f>INDEX('All Facts'!L:L,MATCH(Recipie!$B15,'All Facts'!$B:$B,0),1)/INDEX('All Facts'!$F:$F,MATCH(Recipie!$B15,'All Facts'!$B:$B,0),1)*$C15</f>
        <v>0</v>
      </c>
      <c r="J15" s="4">
        <f>INDEX('All Facts'!M:M,MATCH(Recipie!$B15,'All Facts'!$B:$B,0),1)/INDEX('All Facts'!$F:$F,MATCH(Recipie!$B15,'All Facts'!$B:$B,0),1)*$C15</f>
        <v>0</v>
      </c>
      <c r="K15" s="4">
        <f>INDEX('All Facts'!N:N,MATCH(Recipie!$B15,'All Facts'!$B:$B,0),1)/INDEX('All Facts'!$F:$F,MATCH(Recipie!$B15,'All Facts'!$B:$B,0),1)*$C15</f>
        <v>0</v>
      </c>
      <c r="L15" s="4">
        <f>INDEX('All Facts'!O:O,MATCH(Recipie!$B15,'All Facts'!$B:$B,0),1)/INDEX('All Facts'!$F:$F,MATCH(Recipie!$B15,'All Facts'!$B:$B,0),1)*$C15</f>
        <v>0</v>
      </c>
      <c r="M15" s="4">
        <f>INDEX('All Facts'!P:P,MATCH(Recipie!$B15,'All Facts'!$B:$B,0),1)/INDEX('All Facts'!$F:$F,MATCH(Recipie!$B15,'All Facts'!$B:$B,0),1)*$C15</f>
        <v>0</v>
      </c>
      <c r="N15" s="4">
        <f>INDEX('All Facts'!Q:Q,MATCH(Recipie!$B15,'All Facts'!$B:$B,0),1)/INDEX('All Facts'!$F:$F,MATCH(Recipie!$B15,'All Facts'!$B:$B,0),1)*$C15</f>
        <v>0</v>
      </c>
      <c r="O15" s="4">
        <f>INDEX('All Facts'!R:R,MATCH(Recipie!$B15,'All Facts'!$B:$B,0),1)/INDEX('All Facts'!$F:$F,MATCH(Recipie!$B15,'All Facts'!$B:$B,0),1)*$C15</f>
        <v>2.8676470588767815</v>
      </c>
      <c r="P15" s="4">
        <f>INDEX('All Facts'!S:S,MATCH(Recipie!$B15,'All Facts'!$B:$B,0),1)/INDEX('All Facts'!$F:$F,MATCH(Recipie!$B15,'All Facts'!$B:$B,0),1)*$C15</f>
        <v>66.176470589464188</v>
      </c>
      <c r="Q15" s="4">
        <f>INDEX('All Facts'!T:T,MATCH(Recipie!$B15,'All Facts'!$B:$B,0),1)/INDEX('All Facts'!$F:$F,MATCH(Recipie!$B15,'All Facts'!$B:$B,0),1)*$C15</f>
        <v>0</v>
      </c>
      <c r="R15" s="4">
        <f>INDEX('All Facts'!U:U,MATCH(Recipie!$B15,'All Facts'!$B:$B,0),1)/INDEX('All Facts'!$F:$F,MATCH(Recipie!$B15,'All Facts'!$B:$B,0),1)*$C15</f>
        <v>0</v>
      </c>
      <c r="S15" s="4">
        <f>INDEX('All Facts'!V:V,MATCH(Recipie!$B15,'All Facts'!$B:$B,0),1)/INDEX('All Facts'!$F:$F,MATCH(Recipie!$B15,'All Facts'!$B:$B,0),1)*$C15</f>
        <v>0</v>
      </c>
      <c r="T15" s="4">
        <f>INDEX('All Facts'!W:W,MATCH(Recipie!$B15,'All Facts'!$B:$B,0),1)/INDEX('All Facts'!$F:$F,MATCH(Recipie!$B15,'All Facts'!$B:$B,0),1)*$C15</f>
        <v>0</v>
      </c>
      <c r="U15" s="4">
        <f>INDEX('All Facts'!X:X,MATCH(Recipie!$B15,'All Facts'!$B:$B,0),1)/INDEX('All Facts'!$F:$F,MATCH(Recipie!$B15,'All Facts'!$B:$B,0),1)*$C15</f>
        <v>110.29411764910698</v>
      </c>
      <c r="V15" s="4">
        <f>INDEX('All Facts'!Y:Y,MATCH(Recipie!$B15,'All Facts'!$B:$B,0),1)/INDEX('All Facts'!$F:$F,MATCH(Recipie!$B15,'All Facts'!$B:$B,0),1)*$C15</f>
        <v>3.0882352941749951</v>
      </c>
      <c r="W15" s="4">
        <f>INDEX('All Facts'!Z:Z,MATCH(Recipie!$B15,'All Facts'!$B:$B,0),1)/INDEX('All Facts'!$F:$F,MATCH(Recipie!$B15,'All Facts'!$B:$B,0),1)*$C15</f>
        <v>0.48529411765607072</v>
      </c>
    </row>
    <row r="16" spans="1:31" ht="105" x14ac:dyDescent="0.25">
      <c r="A16" s="4" t="s">
        <v>58</v>
      </c>
      <c r="B16" s="4" t="s">
        <v>23</v>
      </c>
      <c r="C16" s="11">
        <f>Solver!C13</f>
        <v>1125.0000000208911</v>
      </c>
      <c r="D16" s="4">
        <f>INDEX('All Facts'!G:G,MATCH(Recipie!$B16,'All Facts'!$B:$B,0),1)/INDEX('All Facts'!$F:$F,MATCH(Recipie!$B16,'All Facts'!$B:$B,0),1)*$C16</f>
        <v>595.58823530517759</v>
      </c>
      <c r="E16" s="4">
        <f>INDEX('All Facts'!H:H,MATCH(Recipie!$B16,'All Facts'!$B:$B,0),1)/INDEX('All Facts'!$F:$F,MATCH(Recipie!$B16,'All Facts'!$B:$B,0),1)*$C16</f>
        <v>0</v>
      </c>
      <c r="F16" s="4">
        <f>INDEX('All Facts'!I:I,MATCH(Recipie!$B16,'All Facts'!$B:$B,0),1)/INDEX('All Facts'!$F:$F,MATCH(Recipie!$B16,'All Facts'!$B:$B,0),1)*$C16</f>
        <v>0</v>
      </c>
      <c r="G16" s="4">
        <f>INDEX('All Facts'!J:J,MATCH(Recipie!$B16,'All Facts'!$B:$B,0),1)/INDEX('All Facts'!$F:$F,MATCH(Recipie!$B16,'All Facts'!$B:$B,0),1)*$C16</f>
        <v>145.58823529682121</v>
      </c>
      <c r="H16" s="4">
        <f>INDEX('All Facts'!K:K,MATCH(Recipie!$B16,'All Facts'!$B:$B,0),1)/INDEX('All Facts'!$F:$F,MATCH(Recipie!$B16,'All Facts'!$B:$B,0),1)*$C16</f>
        <v>0</v>
      </c>
      <c r="I16" s="4">
        <f>INDEX('All Facts'!L:L,MATCH(Recipie!$B16,'All Facts'!$B:$B,0),1)/INDEX('All Facts'!$F:$F,MATCH(Recipie!$B16,'All Facts'!$B:$B,0),1)*$C16</f>
        <v>0</v>
      </c>
      <c r="J16" s="4">
        <f>INDEX('All Facts'!M:M,MATCH(Recipie!$B16,'All Facts'!$B:$B,0),1)/INDEX('All Facts'!$F:$F,MATCH(Recipie!$B16,'All Facts'!$B:$B,0),1)*$C16</f>
        <v>0</v>
      </c>
      <c r="K16" s="4">
        <f>INDEX('All Facts'!N:N,MATCH(Recipie!$B16,'All Facts'!$B:$B,0),1)/INDEX('All Facts'!$F:$F,MATCH(Recipie!$B16,'All Facts'!$B:$B,0),1)*$C16</f>
        <v>1588.2352941471404</v>
      </c>
      <c r="L16" s="4">
        <f>INDEX('All Facts'!O:O,MATCH(Recipie!$B16,'All Facts'!$B:$B,0),1)/INDEX('All Facts'!$F:$F,MATCH(Recipie!$B16,'All Facts'!$B:$B,0),1)*$C16</f>
        <v>5294.1176471571343</v>
      </c>
      <c r="M16" s="4">
        <f>INDEX('All Facts'!P:P,MATCH(Recipie!$B16,'All Facts'!$B:$B,0),1)/INDEX('All Facts'!$F:$F,MATCH(Recipie!$B16,'All Facts'!$B:$B,0),1)*$C16</f>
        <v>0</v>
      </c>
      <c r="N16" s="4">
        <f>INDEX('All Facts'!Q:Q,MATCH(Recipie!$B16,'All Facts'!$B:$B,0),1)/INDEX('All Facts'!$F:$F,MATCH(Recipie!$B16,'All Facts'!$B:$B,0),1)*$C16</f>
        <v>0</v>
      </c>
      <c r="O16" s="4">
        <f>INDEX('All Facts'!R:R,MATCH(Recipie!$B16,'All Facts'!$B:$B,0),1)/INDEX('All Facts'!$F:$F,MATCH(Recipie!$B16,'All Facts'!$B:$B,0),1)*$C16</f>
        <v>0</v>
      </c>
      <c r="P16" s="4">
        <f>INDEX('All Facts'!S:S,MATCH(Recipie!$B16,'All Facts'!$B:$B,0),1)/INDEX('All Facts'!$F:$F,MATCH(Recipie!$B16,'All Facts'!$B:$B,0),1)*$C16</f>
        <v>0</v>
      </c>
      <c r="Q16" s="4">
        <f>INDEX('All Facts'!T:T,MATCH(Recipie!$B16,'All Facts'!$B:$B,0),1)/INDEX('All Facts'!$F:$F,MATCH(Recipie!$B16,'All Facts'!$B:$B,0),1)*$C16</f>
        <v>0</v>
      </c>
      <c r="R16" s="4">
        <f>INDEX('All Facts'!U:U,MATCH(Recipie!$B16,'All Facts'!$B:$B,0),1)/INDEX('All Facts'!$F:$F,MATCH(Recipie!$B16,'All Facts'!$B:$B,0),1)*$C16</f>
        <v>0</v>
      </c>
      <c r="S16" s="4">
        <f>INDEX('All Facts'!V:V,MATCH(Recipie!$B16,'All Facts'!$B:$B,0),1)/INDEX('All Facts'!$F:$F,MATCH(Recipie!$B16,'All Facts'!$B:$B,0),1)*$C16</f>
        <v>0</v>
      </c>
      <c r="T16" s="4">
        <f>INDEX('All Facts'!W:W,MATCH(Recipie!$B16,'All Facts'!$B:$B,0),1)/INDEX('All Facts'!$F:$F,MATCH(Recipie!$B16,'All Facts'!$B:$B,0),1)*$C16</f>
        <v>0</v>
      </c>
      <c r="U16" s="4">
        <f>INDEX('All Facts'!X:X,MATCH(Recipie!$B16,'All Facts'!$B:$B,0),1)/INDEX('All Facts'!$F:$F,MATCH(Recipie!$B16,'All Facts'!$B:$B,0),1)*$C16</f>
        <v>0</v>
      </c>
      <c r="V16" s="4">
        <f>INDEX('All Facts'!Y:Y,MATCH(Recipie!$B16,'All Facts'!$B:$B,0),1)/INDEX('All Facts'!$F:$F,MATCH(Recipie!$B16,'All Facts'!$B:$B,0),1)*$C16</f>
        <v>0</v>
      </c>
      <c r="W16" s="4">
        <f>INDEX('All Facts'!Z:Z,MATCH(Recipie!$B16,'All Facts'!$B:$B,0),1)/INDEX('All Facts'!$F:$F,MATCH(Recipie!$B16,'All Facts'!$B:$B,0),1)*$C16</f>
        <v>0</v>
      </c>
    </row>
    <row r="17" spans="1:23" x14ac:dyDescent="0.25">
      <c r="A17" s="4" t="s">
        <v>58</v>
      </c>
      <c r="B17" s="4" t="s">
        <v>45</v>
      </c>
      <c r="C17" s="4">
        <f>SUM(C14:C16)</f>
        <v>1341.1764706103554</v>
      </c>
      <c r="D17" s="4">
        <f t="shared" ref="D17:W17" si="2">SUM(D14:D16)</f>
        <v>1048.2352941332128</v>
      </c>
      <c r="E17" s="4">
        <f t="shared" si="2"/>
        <v>15</v>
      </c>
      <c r="F17" s="4">
        <f t="shared" si="2"/>
        <v>50.735294118589216</v>
      </c>
      <c r="G17" s="4">
        <f t="shared" si="2"/>
        <v>168.0000000027855</v>
      </c>
      <c r="H17" s="4">
        <f t="shared" si="2"/>
        <v>4.5</v>
      </c>
      <c r="I17" s="4">
        <f t="shared" si="2"/>
        <v>0</v>
      </c>
      <c r="J17" s="4">
        <f t="shared" si="2"/>
        <v>0</v>
      </c>
      <c r="K17" s="4">
        <f t="shared" si="2"/>
        <v>2143.2352941471404</v>
      </c>
      <c r="L17" s="4">
        <f t="shared" si="2"/>
        <v>5504.1176471571343</v>
      </c>
      <c r="M17" s="4">
        <f t="shared" si="2"/>
        <v>3</v>
      </c>
      <c r="N17" s="4">
        <f t="shared" si="2"/>
        <v>90</v>
      </c>
      <c r="O17" s="4">
        <f t="shared" si="2"/>
        <v>5.5676470588767817</v>
      </c>
      <c r="P17" s="4">
        <f t="shared" si="2"/>
        <v>66.176470589464188</v>
      </c>
      <c r="Q17" s="4">
        <f t="shared" si="2"/>
        <v>0</v>
      </c>
      <c r="R17" s="4">
        <f t="shared" si="2"/>
        <v>0</v>
      </c>
      <c r="S17" s="4">
        <f t="shared" si="2"/>
        <v>0</v>
      </c>
      <c r="T17" s="4">
        <f t="shared" si="2"/>
        <v>0</v>
      </c>
      <c r="U17" s="4">
        <f t="shared" si="2"/>
        <v>110.29411764910698</v>
      </c>
      <c r="V17" s="4">
        <f t="shared" si="2"/>
        <v>3.0882352941749951</v>
      </c>
      <c r="W17" s="4">
        <f t="shared" si="2"/>
        <v>0.48529411765607072</v>
      </c>
    </row>
    <row r="19" spans="1:23" ht="60" x14ac:dyDescent="0.25">
      <c r="A19" s="4" t="s">
        <v>1</v>
      </c>
      <c r="B19" s="4" t="s">
        <v>43</v>
      </c>
      <c r="C19" s="4" t="s">
        <v>55</v>
      </c>
      <c r="D19" s="4">
        <f>'All Facts'!G19</f>
        <v>0</v>
      </c>
      <c r="E19" s="4">
        <f>'All Facts'!H19</f>
        <v>0</v>
      </c>
      <c r="F19" s="4">
        <f>'All Facts'!I19</f>
        <v>0</v>
      </c>
      <c r="G19" s="4">
        <f>'All Facts'!J19</f>
        <v>0</v>
      </c>
      <c r="H19" s="4">
        <f>'All Facts'!K19</f>
        <v>0</v>
      </c>
      <c r="I19" s="4">
        <f>'All Facts'!L19</f>
        <v>0</v>
      </c>
      <c r="J19" s="4">
        <f>'All Facts'!M19</f>
        <v>0</v>
      </c>
      <c r="K19" s="4">
        <f>'All Facts'!N19</f>
        <v>0</v>
      </c>
      <c r="L19" s="4">
        <f>'All Facts'!O19</f>
        <v>0</v>
      </c>
      <c r="M19" s="4">
        <f>'All Facts'!P19</f>
        <v>0</v>
      </c>
      <c r="N19" s="4">
        <f>'All Facts'!Q19</f>
        <v>0</v>
      </c>
      <c r="O19" s="4">
        <f>'All Facts'!R19</f>
        <v>0</v>
      </c>
      <c r="P19" s="4">
        <f>'All Facts'!S19</f>
        <v>0</v>
      </c>
      <c r="Q19" s="4">
        <f>'All Facts'!T19</f>
        <v>0</v>
      </c>
      <c r="R19" s="4">
        <f>'All Facts'!U19</f>
        <v>0</v>
      </c>
      <c r="S19" s="4">
        <f>'All Facts'!V19</f>
        <v>0</v>
      </c>
      <c r="T19" s="4">
        <f>'All Facts'!W19</f>
        <v>0</v>
      </c>
      <c r="U19" s="4">
        <f>'All Facts'!X19</f>
        <v>0</v>
      </c>
      <c r="V19" s="4">
        <f>'All Facts'!Y19</f>
        <v>0</v>
      </c>
      <c r="W19" s="4">
        <f>'All Facts'!Z19</f>
        <v>0</v>
      </c>
    </row>
    <row r="20" spans="1:23" ht="30" x14ac:dyDescent="0.25">
      <c r="A20" s="4" t="s">
        <v>65</v>
      </c>
      <c r="B20" s="4" t="s">
        <v>35</v>
      </c>
      <c r="C20" s="4">
        <f>MROUND(AC2/AE2*C22,AC2)</f>
        <v>100</v>
      </c>
      <c r="D20" s="4">
        <f>INDEX('All Facts'!G:G,MATCH(Recipie!$B20,'All Facts'!$B:$B,0),1)/INDEX('All Facts'!$F:$F,MATCH(Recipie!$B20,'All Facts'!$B:$B,0),1)*$C20</f>
        <v>140</v>
      </c>
      <c r="E20" s="4">
        <f>INDEX('All Facts'!H:H,MATCH(Recipie!$B20,'All Facts'!$B:$B,0),1)/INDEX('All Facts'!$F:$F,MATCH(Recipie!$B20,'All Facts'!$B:$B,0),1)*$C20</f>
        <v>10</v>
      </c>
      <c r="F20" s="4">
        <f>INDEX('All Facts'!I:I,MATCH(Recipie!$B20,'All Facts'!$B:$B,0),1)/INDEX('All Facts'!$F:$F,MATCH(Recipie!$B20,'All Facts'!$B:$B,0),1)*$C20</f>
        <v>0</v>
      </c>
      <c r="G20" s="4">
        <f>INDEX('All Facts'!J:J,MATCH(Recipie!$B20,'All Facts'!$B:$B,0),1)/INDEX('All Facts'!$F:$F,MATCH(Recipie!$B20,'All Facts'!$B:$B,0),1)*$C20</f>
        <v>12</v>
      </c>
      <c r="H20" s="4">
        <f>INDEX('All Facts'!K:K,MATCH(Recipie!$B20,'All Facts'!$B:$B,0),1)/INDEX('All Facts'!$F:$F,MATCH(Recipie!$B20,'All Facts'!$B:$B,0),1)*$C20</f>
        <v>3</v>
      </c>
      <c r="I20" s="4">
        <f>INDEX('All Facts'!L:L,MATCH(Recipie!$B20,'All Facts'!$B:$B,0),1)/INDEX('All Facts'!$F:$F,MATCH(Recipie!$B20,'All Facts'!$B:$B,0),1)*$C20</f>
        <v>0</v>
      </c>
      <c r="J20" s="4">
        <f>INDEX('All Facts'!M:M,MATCH(Recipie!$B20,'All Facts'!$B:$B,0),1)/INDEX('All Facts'!$F:$F,MATCH(Recipie!$B20,'All Facts'!$B:$B,0),1)*$C20</f>
        <v>0</v>
      </c>
      <c r="K20" s="4">
        <f>INDEX('All Facts'!N:N,MATCH(Recipie!$B20,'All Facts'!$B:$B,0),1)/INDEX('All Facts'!$F:$F,MATCH(Recipie!$B20,'All Facts'!$B:$B,0),1)*$C20</f>
        <v>370</v>
      </c>
      <c r="L20" s="4">
        <f>INDEX('All Facts'!O:O,MATCH(Recipie!$B20,'All Facts'!$B:$B,0),1)/INDEX('All Facts'!$F:$F,MATCH(Recipie!$B20,'All Facts'!$B:$B,0),1)*$C20</f>
        <v>140</v>
      </c>
      <c r="M20" s="4">
        <f>INDEX('All Facts'!P:P,MATCH(Recipie!$B20,'All Facts'!$B:$B,0),1)/INDEX('All Facts'!$F:$F,MATCH(Recipie!$B20,'All Facts'!$B:$B,0),1)*$C20</f>
        <v>2</v>
      </c>
      <c r="N20" s="4">
        <f>INDEX('All Facts'!Q:Q,MATCH(Recipie!$B20,'All Facts'!$B:$B,0),1)/INDEX('All Facts'!$F:$F,MATCH(Recipie!$B20,'All Facts'!$B:$B,0),1)*$C20</f>
        <v>60</v>
      </c>
      <c r="O20" s="4">
        <f>INDEX('All Facts'!R:R,MATCH(Recipie!$B20,'All Facts'!$B:$B,0),1)/INDEX('All Facts'!$F:$F,MATCH(Recipie!$B20,'All Facts'!$B:$B,0),1)*$C20</f>
        <v>1.8000000000000003</v>
      </c>
      <c r="P20" s="4">
        <f>INDEX('All Facts'!S:S,MATCH(Recipie!$B20,'All Facts'!$B:$B,0),1)/INDEX('All Facts'!$F:$F,MATCH(Recipie!$B20,'All Facts'!$B:$B,0),1)*$C20</f>
        <v>0</v>
      </c>
      <c r="Q20" s="4">
        <f>INDEX('All Facts'!T:T,MATCH(Recipie!$B20,'All Facts'!$B:$B,0),1)/INDEX('All Facts'!$F:$F,MATCH(Recipie!$B20,'All Facts'!$B:$B,0),1)*$C20</f>
        <v>0</v>
      </c>
      <c r="R20" s="4">
        <f>INDEX('All Facts'!U:U,MATCH(Recipie!$B20,'All Facts'!$B:$B,0),1)/INDEX('All Facts'!$F:$F,MATCH(Recipie!$B20,'All Facts'!$B:$B,0),1)*$C20</f>
        <v>0</v>
      </c>
      <c r="S20" s="4">
        <f>INDEX('All Facts'!V:V,MATCH(Recipie!$B20,'All Facts'!$B:$B,0),1)/INDEX('All Facts'!$F:$F,MATCH(Recipie!$B20,'All Facts'!$B:$B,0),1)*$C20</f>
        <v>0</v>
      </c>
      <c r="T20" s="4">
        <f>INDEX('All Facts'!W:W,MATCH(Recipie!$B20,'All Facts'!$B:$B,0),1)/INDEX('All Facts'!$F:$F,MATCH(Recipie!$B20,'All Facts'!$B:$B,0),1)*$C20</f>
        <v>0</v>
      </c>
      <c r="U20" s="4">
        <f>INDEX('All Facts'!X:X,MATCH(Recipie!$B20,'All Facts'!$B:$B,0),1)/INDEX('All Facts'!$F:$F,MATCH(Recipie!$B20,'All Facts'!$B:$B,0),1)*$C20</f>
        <v>0</v>
      </c>
      <c r="V20" s="4">
        <f>INDEX('All Facts'!Y:Y,MATCH(Recipie!$B20,'All Facts'!$B:$B,0),1)/INDEX('All Facts'!$F:$F,MATCH(Recipie!$B20,'All Facts'!$B:$B,0),1)*$C20</f>
        <v>0</v>
      </c>
      <c r="W20" s="4">
        <f>INDEX('All Facts'!Z:Z,MATCH(Recipie!$B20,'All Facts'!$B:$B,0),1)/INDEX('All Facts'!$F:$F,MATCH(Recipie!$B20,'All Facts'!$B:$B,0),1)*$C20</f>
        <v>0</v>
      </c>
    </row>
    <row r="21" spans="1:23" ht="45" x14ac:dyDescent="0.25">
      <c r="A21" s="4" t="s">
        <v>65</v>
      </c>
      <c r="B21" s="4" t="s">
        <v>37</v>
      </c>
      <c r="C21" s="10">
        <f>AC3/AE3*C22</f>
        <v>72.5465075464611</v>
      </c>
      <c r="D21" s="4">
        <f>INDEX('All Facts'!G:G,MATCH(Recipie!$B21,'All Facts'!$B:$B,0),1)/INDEX('All Facts'!$F:$F,MATCH(Recipie!$B21,'All Facts'!$B:$B,0),1)*$C21</f>
        <v>266.0038610036907</v>
      </c>
      <c r="E21" s="4">
        <f>INDEX('All Facts'!H:H,MATCH(Recipie!$B21,'All Facts'!$B:$B,0),1)/INDEX('All Facts'!$F:$F,MATCH(Recipie!$B21,'All Facts'!$B:$B,0),1)*$C21</f>
        <v>0</v>
      </c>
      <c r="F21" s="4">
        <f>INDEX('All Facts'!I:I,MATCH(Recipie!$B21,'All Facts'!$B:$B,0),1)/INDEX('All Facts'!$F:$F,MATCH(Recipie!$B21,'All Facts'!$B:$B,0),1)*$C21</f>
        <v>55.618989118953515</v>
      </c>
      <c r="G21" s="4">
        <f>INDEX('All Facts'!J:J,MATCH(Recipie!$B21,'All Facts'!$B:$B,0),1)/INDEX('All Facts'!$F:$F,MATCH(Recipie!$B21,'All Facts'!$B:$B,0),1)*$C21</f>
        <v>4.8364338364307402</v>
      </c>
      <c r="H21" s="4">
        <f>INDEX('All Facts'!K:K,MATCH(Recipie!$B21,'All Facts'!$B:$B,0),1)/INDEX('All Facts'!$F:$F,MATCH(Recipie!$B21,'All Facts'!$B:$B,0),1)*$C21</f>
        <v>0</v>
      </c>
      <c r="I21" s="4">
        <f>INDEX('All Facts'!L:L,MATCH(Recipie!$B21,'All Facts'!$B:$B,0),1)/INDEX('All Facts'!$F:$F,MATCH(Recipie!$B21,'All Facts'!$B:$B,0),1)*$C21</f>
        <v>0</v>
      </c>
      <c r="J21" s="4">
        <f>INDEX('All Facts'!M:M,MATCH(Recipie!$B21,'All Facts'!$B:$B,0),1)/INDEX('All Facts'!$F:$F,MATCH(Recipie!$B21,'All Facts'!$B:$B,0),1)*$C21</f>
        <v>0</v>
      </c>
      <c r="K21" s="4">
        <f>INDEX('All Facts'!N:N,MATCH(Recipie!$B21,'All Facts'!$B:$B,0),1)/INDEX('All Facts'!$F:$F,MATCH(Recipie!$B21,'All Facts'!$B:$B,0),1)*$C21</f>
        <v>0</v>
      </c>
      <c r="L21" s="4">
        <f>INDEX('All Facts'!O:O,MATCH(Recipie!$B21,'All Facts'!$B:$B,0),1)/INDEX('All Facts'!$F:$F,MATCH(Recipie!$B21,'All Facts'!$B:$B,0),1)*$C21</f>
        <v>0</v>
      </c>
      <c r="M21" s="4">
        <f>INDEX('All Facts'!P:P,MATCH(Recipie!$B21,'All Facts'!$B:$B,0),1)/INDEX('All Facts'!$F:$F,MATCH(Recipie!$B21,'All Facts'!$B:$B,0),1)*$C21</f>
        <v>0</v>
      </c>
      <c r="N21" s="4">
        <f>INDEX('All Facts'!Q:Q,MATCH(Recipie!$B21,'All Facts'!$B:$B,0),1)/INDEX('All Facts'!$F:$F,MATCH(Recipie!$B21,'All Facts'!$B:$B,0),1)*$C21</f>
        <v>0</v>
      </c>
      <c r="O21" s="4">
        <f>INDEX('All Facts'!R:R,MATCH(Recipie!$B21,'All Facts'!$B:$B,0),1)/INDEX('All Facts'!$F:$F,MATCH(Recipie!$B21,'All Facts'!$B:$B,0),1)*$C21</f>
        <v>3.1436819936799809</v>
      </c>
      <c r="P21" s="4">
        <f>INDEX('All Facts'!S:S,MATCH(Recipie!$B21,'All Facts'!$B:$B,0),1)/INDEX('All Facts'!$F:$F,MATCH(Recipie!$B21,'All Facts'!$B:$B,0),1)*$C21</f>
        <v>72.5465075464611</v>
      </c>
      <c r="Q21" s="4">
        <f>INDEX('All Facts'!T:T,MATCH(Recipie!$B21,'All Facts'!$B:$B,0),1)/INDEX('All Facts'!$F:$F,MATCH(Recipie!$B21,'All Facts'!$B:$B,0),1)*$C21</f>
        <v>0</v>
      </c>
      <c r="R21" s="4">
        <f>INDEX('All Facts'!U:U,MATCH(Recipie!$B21,'All Facts'!$B:$B,0),1)/INDEX('All Facts'!$F:$F,MATCH(Recipie!$B21,'All Facts'!$B:$B,0),1)*$C21</f>
        <v>0</v>
      </c>
      <c r="S21" s="4">
        <f>INDEX('All Facts'!V:V,MATCH(Recipie!$B21,'All Facts'!$B:$B,0),1)/INDEX('All Facts'!$F:$F,MATCH(Recipie!$B21,'All Facts'!$B:$B,0),1)*$C21</f>
        <v>0</v>
      </c>
      <c r="T21" s="4">
        <f>INDEX('All Facts'!W:W,MATCH(Recipie!$B21,'All Facts'!$B:$B,0),1)/INDEX('All Facts'!$F:$F,MATCH(Recipie!$B21,'All Facts'!$B:$B,0),1)*$C21</f>
        <v>0</v>
      </c>
      <c r="U21" s="4">
        <f>INDEX('All Facts'!X:X,MATCH(Recipie!$B21,'All Facts'!$B:$B,0),1)/INDEX('All Facts'!$F:$F,MATCH(Recipie!$B21,'All Facts'!$B:$B,0),1)*$C21</f>
        <v>120.9108459107685</v>
      </c>
      <c r="V21" s="4">
        <f>INDEX('All Facts'!Y:Y,MATCH(Recipie!$B21,'All Facts'!$B:$B,0),1)/INDEX('All Facts'!$F:$F,MATCH(Recipie!$B21,'All Facts'!$B:$B,0),1)*$C21</f>
        <v>3.3855036855015177</v>
      </c>
      <c r="W21" s="4">
        <f>INDEX('All Facts'!Z:Z,MATCH(Recipie!$B21,'All Facts'!$B:$B,0),1)/INDEX('All Facts'!$F:$F,MATCH(Recipie!$B21,'All Facts'!$B:$B,0),1)*$C21</f>
        <v>0.53200772200738145</v>
      </c>
    </row>
    <row r="22" spans="1:23" ht="30" x14ac:dyDescent="0.25">
      <c r="A22" s="4" t="s">
        <v>65</v>
      </c>
      <c r="B22" s="4" t="s">
        <v>21</v>
      </c>
      <c r="C22" s="11">
        <f>Solver!C15</f>
        <v>677.1007371003036</v>
      </c>
      <c r="D22" s="4">
        <f>INDEX('All Facts'!G:G,MATCH(Recipie!$B22,'All Facts'!$B:$B,0),1)/INDEX('All Facts'!$F:$F,MATCH(Recipie!$B22,'All Facts'!$B:$B,0),1)*$C22</f>
        <v>665.00965250922673</v>
      </c>
      <c r="E22" s="4">
        <f>INDEX('All Facts'!H:H,MATCH(Recipie!$B22,'All Facts'!$B:$B,0),1)/INDEX('All Facts'!$F:$F,MATCH(Recipie!$B22,'All Facts'!$B:$B,0),1)*$C22</f>
        <v>6.045542295538425</v>
      </c>
      <c r="F22" s="4">
        <f>INDEX('All Facts'!I:I,MATCH(Recipie!$B22,'All Facts'!$B:$B,0),1)/INDEX('All Facts'!$F:$F,MATCH(Recipie!$B22,'All Facts'!$B:$B,0),1)*$C22</f>
        <v>0</v>
      </c>
      <c r="G22" s="4">
        <f>INDEX('All Facts'!J:J,MATCH(Recipie!$B22,'All Facts'!$B:$B,0),1)/INDEX('All Facts'!$F:$F,MATCH(Recipie!$B22,'All Facts'!$B:$B,0),1)*$C22</f>
        <v>151.13855738846064</v>
      </c>
      <c r="H22" s="4">
        <f>INDEX('All Facts'!K:K,MATCH(Recipie!$B22,'All Facts'!$B:$B,0),1)/INDEX('All Facts'!$F:$F,MATCH(Recipie!$B22,'All Facts'!$B:$B,0),1)*$C22</f>
        <v>0</v>
      </c>
      <c r="I22" s="4">
        <f>INDEX('All Facts'!L:L,MATCH(Recipie!$B22,'All Facts'!$B:$B,0),1)/INDEX('All Facts'!$F:$F,MATCH(Recipie!$B22,'All Facts'!$B:$B,0),1)*$C22</f>
        <v>0</v>
      </c>
      <c r="J22" s="4">
        <f>INDEX('All Facts'!M:M,MATCH(Recipie!$B22,'All Facts'!$B:$B,0),1)/INDEX('All Facts'!$F:$F,MATCH(Recipie!$B22,'All Facts'!$B:$B,0),1)*$C22</f>
        <v>0</v>
      </c>
      <c r="K22" s="4">
        <f>INDEX('All Facts'!N:N,MATCH(Recipie!$B22,'All Facts'!$B:$B,0),1)/INDEX('All Facts'!$F:$F,MATCH(Recipie!$B22,'All Facts'!$B:$B,0),1)*$C22</f>
        <v>483.643383643074</v>
      </c>
      <c r="L22" s="4">
        <f>INDEX('All Facts'!O:O,MATCH(Recipie!$B22,'All Facts'!$B:$B,0),1)/INDEX('All Facts'!$F:$F,MATCH(Recipie!$B22,'All Facts'!$B:$B,0),1)*$C22</f>
        <v>453.41567216538186</v>
      </c>
      <c r="M22" s="4">
        <f>INDEX('All Facts'!P:P,MATCH(Recipie!$B22,'All Facts'!$B:$B,0),1)/INDEX('All Facts'!$F:$F,MATCH(Recipie!$B22,'All Facts'!$B:$B,0),1)*$C22</f>
        <v>0</v>
      </c>
      <c r="N22" s="4">
        <f>INDEX('All Facts'!Q:Q,MATCH(Recipie!$B22,'All Facts'!$B:$B,0),1)/INDEX('All Facts'!$F:$F,MATCH(Recipie!$B22,'All Facts'!$B:$B,0),1)*$C22</f>
        <v>0</v>
      </c>
      <c r="O22" s="4">
        <f>INDEX('All Facts'!R:R,MATCH(Recipie!$B22,'All Facts'!$B:$B,0),1)/INDEX('All Facts'!$F:$F,MATCH(Recipie!$B22,'All Facts'!$B:$B,0),1)*$C22</f>
        <v>2.1763952263938329</v>
      </c>
      <c r="P22" s="4">
        <f>INDEX('All Facts'!S:S,MATCH(Recipie!$B22,'All Facts'!$B:$B,0),1)/INDEX('All Facts'!$F:$F,MATCH(Recipie!$B22,'All Facts'!$B:$B,0),1)*$C22</f>
        <v>0</v>
      </c>
      <c r="Q22" s="4">
        <f>INDEX('All Facts'!T:T,MATCH(Recipie!$B22,'All Facts'!$B:$B,0),1)/INDEX('All Facts'!$F:$F,MATCH(Recipie!$B22,'All Facts'!$B:$B,0),1)*$C22</f>
        <v>0</v>
      </c>
      <c r="R22" s="4">
        <f>INDEX('All Facts'!U:U,MATCH(Recipie!$B22,'All Facts'!$B:$B,0),1)/INDEX('All Facts'!$F:$F,MATCH(Recipie!$B22,'All Facts'!$B:$B,0),1)*$C22</f>
        <v>0</v>
      </c>
      <c r="S22" s="4">
        <f>INDEX('All Facts'!V:V,MATCH(Recipie!$B22,'All Facts'!$B:$B,0),1)/INDEX('All Facts'!$F:$F,MATCH(Recipie!$B22,'All Facts'!$B:$B,0),1)*$C22</f>
        <v>0</v>
      </c>
      <c r="T22" s="4">
        <f>INDEX('All Facts'!W:W,MATCH(Recipie!$B22,'All Facts'!$B:$B,0),1)/INDEX('All Facts'!$F:$F,MATCH(Recipie!$B22,'All Facts'!$B:$B,0),1)*$C22</f>
        <v>0</v>
      </c>
      <c r="U22" s="4">
        <f>INDEX('All Facts'!X:X,MATCH(Recipie!$B22,'All Facts'!$B:$B,0),1)/INDEX('All Facts'!$F:$F,MATCH(Recipie!$B22,'All Facts'!$B:$B,0),1)*$C22</f>
        <v>0</v>
      </c>
      <c r="V22" s="4">
        <f>INDEX('All Facts'!Y:Y,MATCH(Recipie!$B22,'All Facts'!$B:$B,0),1)/INDEX('All Facts'!$F:$F,MATCH(Recipie!$B22,'All Facts'!$B:$B,0),1)*$C22</f>
        <v>0</v>
      </c>
      <c r="W22" s="4">
        <f>INDEX('All Facts'!Z:Z,MATCH(Recipie!$B22,'All Facts'!$B:$B,0),1)/INDEX('All Facts'!$F:$F,MATCH(Recipie!$B22,'All Facts'!$B:$B,0),1)*$C22</f>
        <v>0</v>
      </c>
    </row>
    <row r="23" spans="1:23" ht="30" x14ac:dyDescent="0.25">
      <c r="A23" s="4" t="s">
        <v>65</v>
      </c>
      <c r="B23" s="4" t="s">
        <v>45</v>
      </c>
      <c r="C23" s="4">
        <f>SUM(C20:C22)</f>
        <v>849.64724464676465</v>
      </c>
      <c r="D23" s="4">
        <f t="shared" ref="D23:W23" si="3">SUM(D20:D22)</f>
        <v>1071.0135135129174</v>
      </c>
      <c r="E23" s="4">
        <f t="shared" si="3"/>
        <v>16.045542295538425</v>
      </c>
      <c r="F23" s="4">
        <f t="shared" si="3"/>
        <v>55.618989118953515</v>
      </c>
      <c r="G23" s="4">
        <f t="shared" si="3"/>
        <v>167.97499122489137</v>
      </c>
      <c r="H23" s="4">
        <f t="shared" si="3"/>
        <v>3</v>
      </c>
      <c r="I23" s="4">
        <f t="shared" si="3"/>
        <v>0</v>
      </c>
      <c r="J23" s="4">
        <f t="shared" si="3"/>
        <v>0</v>
      </c>
      <c r="K23" s="4">
        <f t="shared" si="3"/>
        <v>853.643383643074</v>
      </c>
      <c r="L23" s="4">
        <f t="shared" si="3"/>
        <v>593.41567216538192</v>
      </c>
      <c r="M23" s="4">
        <f t="shared" si="3"/>
        <v>2</v>
      </c>
      <c r="N23" s="4">
        <f t="shared" si="3"/>
        <v>60</v>
      </c>
      <c r="O23" s="4">
        <f t="shared" si="3"/>
        <v>7.1200772200738136</v>
      </c>
      <c r="P23" s="4">
        <f t="shared" si="3"/>
        <v>72.5465075464611</v>
      </c>
      <c r="Q23" s="4">
        <f t="shared" si="3"/>
        <v>0</v>
      </c>
      <c r="R23" s="4">
        <f t="shared" si="3"/>
        <v>0</v>
      </c>
      <c r="S23" s="4">
        <f t="shared" si="3"/>
        <v>0</v>
      </c>
      <c r="T23" s="4">
        <f t="shared" si="3"/>
        <v>0</v>
      </c>
      <c r="U23" s="4">
        <f t="shared" si="3"/>
        <v>120.9108459107685</v>
      </c>
      <c r="V23" s="4">
        <f t="shared" si="3"/>
        <v>3.3855036855015177</v>
      </c>
      <c r="W23" s="4">
        <f t="shared" si="3"/>
        <v>0.53200772200738145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808B-84FA-4052-BDB8-7F6005595D48}">
  <dimension ref="A1:AW34"/>
  <sheetViews>
    <sheetView workbookViewId="0">
      <selection activeCell="S18" sqref="S18"/>
    </sheetView>
  </sheetViews>
  <sheetFormatPr defaultRowHeight="15" x14ac:dyDescent="0.25"/>
  <cols>
    <col min="2" max="2" width="15.7109375" bestFit="1" customWidth="1"/>
    <col min="3" max="3" width="6.5703125" bestFit="1" customWidth="1"/>
    <col min="4" max="4" width="11.85546875" bestFit="1" customWidth="1"/>
    <col min="5" max="5" width="12" bestFit="1" customWidth="1"/>
    <col min="6" max="6" width="9.5703125" bestFit="1" customWidth="1"/>
    <col min="7" max="7" width="10.5703125" bestFit="1" customWidth="1"/>
    <col min="8" max="8" width="10" bestFit="1" customWidth="1"/>
    <col min="9" max="9" width="13.7109375" bestFit="1" customWidth="1"/>
    <col min="10" max="10" width="15" customWidth="1"/>
    <col min="11" max="11" width="11.28515625" customWidth="1"/>
    <col min="12" max="12" width="11.5703125" bestFit="1" customWidth="1"/>
    <col min="13" max="13" width="8.5703125" bestFit="1" customWidth="1"/>
    <col min="14" max="14" width="10.5703125" bestFit="1" customWidth="1"/>
    <col min="15" max="15" width="8.5703125" bestFit="1" customWidth="1"/>
    <col min="16" max="16" width="11.5703125" bestFit="1" customWidth="1"/>
    <col min="17" max="18" width="8.5703125" bestFit="1" customWidth="1"/>
    <col min="19" max="19" width="9.5703125" bestFit="1" customWidth="1"/>
    <col min="20" max="20" width="8.5703125" bestFit="1" customWidth="1"/>
    <col min="21" max="21" width="9.5703125" bestFit="1" customWidth="1"/>
    <col min="22" max="23" width="8.5703125" bestFit="1" customWidth="1"/>
    <col min="24" max="24" width="9.5703125" bestFit="1" customWidth="1"/>
    <col min="25" max="25" width="7.5703125" bestFit="1" customWidth="1"/>
    <col min="26" max="26" width="17.28515625" bestFit="1" customWidth="1"/>
    <col min="28" max="28" width="6.5703125" bestFit="1" customWidth="1"/>
  </cols>
  <sheetData>
    <row r="1" spans="1:49" ht="60" x14ac:dyDescent="0.25">
      <c r="A1" t="s">
        <v>46</v>
      </c>
      <c r="B1" t="s">
        <v>1</v>
      </c>
      <c r="C1" t="s">
        <v>44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39</v>
      </c>
      <c r="V1" s="4" t="s">
        <v>40</v>
      </c>
      <c r="W1" s="4" t="s">
        <v>41</v>
      </c>
      <c r="Z1" t="str">
        <f>'All Facts'!B11</f>
        <v>Colby Jack Cheese</v>
      </c>
      <c r="AA1" t="s">
        <v>47</v>
      </c>
      <c r="AB1" t="s">
        <v>44</v>
      </c>
      <c r="AC1" s="4" t="s">
        <v>8</v>
      </c>
      <c r="AD1" s="4" t="s">
        <v>9</v>
      </c>
      <c r="AE1" s="4" t="s">
        <v>10</v>
      </c>
      <c r="AF1" s="4" t="s">
        <v>11</v>
      </c>
      <c r="AG1" s="4" t="s">
        <v>12</v>
      </c>
      <c r="AH1" s="4" t="s">
        <v>13</v>
      </c>
      <c r="AI1" s="4" t="s">
        <v>14</v>
      </c>
      <c r="AJ1" s="4" t="s">
        <v>15</v>
      </c>
      <c r="AK1" s="4" t="s">
        <v>16</v>
      </c>
      <c r="AL1" s="4" t="s">
        <v>17</v>
      </c>
      <c r="AM1" s="4" t="s">
        <v>18</v>
      </c>
      <c r="AN1" s="4" t="s">
        <v>19</v>
      </c>
      <c r="AO1" s="4" t="s">
        <v>20</v>
      </c>
      <c r="AP1" s="4" t="s">
        <v>26</v>
      </c>
      <c r="AQ1" s="4" t="s">
        <v>27</v>
      </c>
      <c r="AR1" s="4" t="s">
        <v>28</v>
      </c>
      <c r="AS1" s="4" t="s">
        <v>29</v>
      </c>
      <c r="AT1" s="4" t="s">
        <v>39</v>
      </c>
      <c r="AU1" s="4" t="s">
        <v>40</v>
      </c>
      <c r="AV1" s="4" t="s">
        <v>41</v>
      </c>
      <c r="AW1" s="4" t="s">
        <v>52</v>
      </c>
    </row>
    <row r="2" spans="1:49" ht="30" x14ac:dyDescent="0.25">
      <c r="B2" s="4" t="s">
        <v>24</v>
      </c>
      <c r="C2">
        <v>150</v>
      </c>
      <c r="D2" s="4">
        <f>INDEX('All Facts'!G:G,MATCH(Solver!$B2,'All Facts'!$B:$B,0),1)/INDEX('All Facts'!$F:$F,MATCH(Solver!$B2,'All Facts'!$B:$B,0),1)*$C2</f>
        <v>111.48648648648648</v>
      </c>
      <c r="E2" s="4">
        <f>INDEX('All Facts'!H:H,MATCH(Solver!$B2,'All Facts'!$B:$B,0),1)/INDEX('All Facts'!$F:$F,MATCH(Solver!$B2,'All Facts'!$B:$B,0),1)*$C2</f>
        <v>0</v>
      </c>
      <c r="F2" s="4">
        <f>INDEX('All Facts'!I:I,MATCH(Solver!$B2,'All Facts'!$B:$B,0),1)/INDEX('All Facts'!$F:$F,MATCH(Solver!$B2,'All Facts'!$B:$B,0),1)*$C2</f>
        <v>26.351351351351354</v>
      </c>
      <c r="G2" s="4">
        <f>INDEX('All Facts'!J:J,MATCH(Solver!$B2,'All Facts'!$B:$B,0),1)/INDEX('All Facts'!$F:$F,MATCH(Solver!$B2,'All Facts'!$B:$B,0),1)*$C2</f>
        <v>3.0405405405405408</v>
      </c>
      <c r="H2" s="4">
        <f>INDEX('All Facts'!K:K,MATCH(Solver!$B2,'All Facts'!$B:$B,0),1)/INDEX('All Facts'!$F:$F,MATCH(Solver!$B2,'All Facts'!$B:$B,0),1)*$C2</f>
        <v>0</v>
      </c>
      <c r="I2" s="4">
        <f>INDEX('All Facts'!L:L,MATCH(Solver!$B2,'All Facts'!$B:$B,0),1)/INDEX('All Facts'!$F:$F,MATCH(Solver!$B2,'All Facts'!$B:$B,0),1)*$C2</f>
        <v>0</v>
      </c>
      <c r="J2" s="4">
        <f>INDEX('All Facts'!M:M,MATCH(Solver!$B2,'All Facts'!$B:$B,0),1)/INDEX('All Facts'!$F:$F,MATCH(Solver!$B2,'All Facts'!$B:$B,0),1)*$C2</f>
        <v>0</v>
      </c>
      <c r="K2" s="4">
        <f>INDEX('All Facts'!N:N,MATCH(Solver!$B2,'All Facts'!$B:$B,0),1)/INDEX('All Facts'!$F:$F,MATCH(Solver!$B2,'All Facts'!$B:$B,0),1)*$C2</f>
        <v>0</v>
      </c>
      <c r="L2" s="4">
        <f>INDEX('All Facts'!O:O,MATCH(Solver!$B2,'All Facts'!$B:$B,0),1)/INDEX('All Facts'!$F:$F,MATCH(Solver!$B2,'All Facts'!$B:$B,0),1)*$C2</f>
        <v>0</v>
      </c>
      <c r="M2" s="4">
        <f>INDEX('All Facts'!P:P,MATCH(Solver!$B2,'All Facts'!$B:$B,0),1)/INDEX('All Facts'!$F:$F,MATCH(Solver!$B2,'All Facts'!$B:$B,0),1)*$C2</f>
        <v>0</v>
      </c>
      <c r="N2" s="4">
        <f>INDEX('All Facts'!Q:Q,MATCH(Solver!$B2,'All Facts'!$B:$B,0),1)/INDEX('All Facts'!$F:$F,MATCH(Solver!$B2,'All Facts'!$B:$B,0),1)*$C2</f>
        <v>20.27027027027027</v>
      </c>
      <c r="O2" s="4">
        <f>INDEX('All Facts'!R:R,MATCH(Solver!$B2,'All Facts'!$B:$B,0),1)/INDEX('All Facts'!$F:$F,MATCH(Solver!$B2,'All Facts'!$B:$B,0),1)*$C2</f>
        <v>1.1148648648648649</v>
      </c>
      <c r="P2" s="4">
        <f>INDEX('All Facts'!S:S,MATCH(Solver!$B2,'All Facts'!$B:$B,0),1)/INDEX('All Facts'!$F:$F,MATCH(Solver!$B2,'All Facts'!$B:$B,0),1)*$C2</f>
        <v>628.37837837837844</v>
      </c>
      <c r="Q2" s="4">
        <f>INDEX('All Facts'!T:T,MATCH(Solver!$B2,'All Facts'!$B:$B,0),1)/INDEX('All Facts'!$F:$F,MATCH(Solver!$B2,'All Facts'!$B:$B,0),1)*$C2</f>
        <v>2.0270270270270272</v>
      </c>
      <c r="R2" s="4">
        <f>INDEX('All Facts'!U:U,MATCH(Solver!$B2,'All Facts'!$B:$B,0),1)/INDEX('All Facts'!$F:$F,MATCH(Solver!$B2,'All Facts'!$B:$B,0),1)*$C2</f>
        <v>1.0135135135135136</v>
      </c>
      <c r="S2" s="4">
        <f>INDEX('All Facts'!V:V,MATCH(Solver!$B2,'All Facts'!$B:$B,0),1)/INDEX('All Facts'!$F:$F,MATCH(Solver!$B2,'All Facts'!$B:$B,0),1)*$C2</f>
        <v>26.351351351351354</v>
      </c>
      <c r="T2" s="4">
        <f>INDEX('All Facts'!W:W,MATCH(Solver!$B2,'All Facts'!$B:$B,0),1)/INDEX('All Facts'!$F:$F,MATCH(Solver!$B2,'All Facts'!$B:$B,0),1)*$C2</f>
        <v>0.20270270270270271</v>
      </c>
      <c r="U2" s="4">
        <f>INDEX('All Facts'!X:X,MATCH(Solver!$B2,'All Facts'!$B:$B,0),1)/INDEX('All Facts'!$F:$F,MATCH(Solver!$B2,'All Facts'!$B:$B,0),1)*$C2</f>
        <v>0</v>
      </c>
      <c r="V2" s="4">
        <f>INDEX('All Facts'!Y:Y,MATCH(Solver!$B2,'All Facts'!$B:$B,0),1)/INDEX('All Facts'!$F:$F,MATCH(Solver!$B2,'All Facts'!$B:$B,0),1)*$C2</f>
        <v>0</v>
      </c>
      <c r="W2" s="4">
        <f>INDEX('All Facts'!Z:Z,MATCH(Solver!$B2,'All Facts'!$B:$B,0),1)/INDEX('All Facts'!$F:$F,MATCH(Solver!$B2,'All Facts'!$B:$B,0),1)*$C2</f>
        <v>0</v>
      </c>
      <c r="AA2">
        <v>1</v>
      </c>
      <c r="AB2" s="6">
        <v>5.7980919557566395</v>
      </c>
      <c r="AC2">
        <f>INDEX('All Facts'!G:G,MATCH(Solver!$Z$1,'All Facts'!$B:$B,0),1)/INDEX('All Facts'!$F:$F,MATCH(Solver!$Z$1,'All Facts'!$B:$B,0),1)*$AB2</f>
        <v>22.778218397615369</v>
      </c>
      <c r="AD2">
        <f>INDEX('All Facts'!H:H,MATCH(Solver!$Z$1,'All Facts'!$B:$B,0),1)/INDEX('All Facts'!$F:$F,MATCH(Solver!$Z$1,'All Facts'!$B:$B,0),1)*$AB2</f>
        <v>1.8636724143503485</v>
      </c>
      <c r="AE2">
        <f>INDEX('All Facts'!I:I,MATCH(Solver!$Z$1,'All Facts'!$B:$B,0),1)/INDEX('All Facts'!$F:$F,MATCH(Solver!$Z$1,'All Facts'!$B:$B,0),1)*$AB2</f>
        <v>0.20707471270559424</v>
      </c>
      <c r="AF2">
        <f>INDEX('All Facts'!J:J,MATCH(Solver!$Z$1,'All Facts'!$B:$B,0),1)/INDEX('All Facts'!$F:$F,MATCH(Solver!$Z$1,'All Facts'!$B:$B,0),1)*$AB2</f>
        <v>1.4495229889391599</v>
      </c>
      <c r="AG2">
        <f>INDEX('All Facts'!K:K,MATCH(Solver!$Z$1,'All Facts'!$B:$B,0),1)/INDEX('All Facts'!$F:$F,MATCH(Solver!$Z$1,'All Facts'!$B:$B,0),1)*$AB2</f>
        <v>1.0353735635279713</v>
      </c>
      <c r="AH2">
        <f>INDEX('All Facts'!L:L,MATCH(Solver!$Z$1,'All Facts'!$B:$B,0),1)/INDEX('All Facts'!$F:$F,MATCH(Solver!$Z$1,'All Facts'!$B:$B,0),1)*$AB2</f>
        <v>0</v>
      </c>
      <c r="AI2">
        <f>INDEX('All Facts'!M:M,MATCH(Solver!$Z$1,'All Facts'!$B:$B,0),1)/INDEX('All Facts'!$F:$F,MATCH(Solver!$Z$1,'All Facts'!$B:$B,0),1)*$AB2</f>
        <v>0</v>
      </c>
      <c r="AJ2">
        <f>INDEX('All Facts'!N:N,MATCH(Solver!$Z$1,'All Facts'!$B:$B,0),1)/INDEX('All Facts'!$F:$F,MATCH(Solver!$Z$1,'All Facts'!$B:$B,0),1)*$AB2</f>
        <v>6.2122413811678276</v>
      </c>
      <c r="AK2">
        <f>INDEX('All Facts'!O:O,MATCH(Solver!$Z$1,'All Facts'!$B:$B,0),1)/INDEX('All Facts'!$F:$F,MATCH(Solver!$Z$1,'All Facts'!$B:$B,0),1)*$AB2</f>
        <v>35.202701159951026</v>
      </c>
      <c r="AL2">
        <f>INDEX('All Facts'!P:P,MATCH(Solver!$Z$1,'All Facts'!$B:$B,0),1)/INDEX('All Facts'!$F:$F,MATCH(Solver!$Z$1,'All Facts'!$B:$B,0),1)*$AB2</f>
        <v>4.1414942541118854E-2</v>
      </c>
      <c r="AM2">
        <f>INDEX('All Facts'!Q:Q,MATCH(Solver!$Z$1,'All Facts'!$B:$B,0),1)/INDEX('All Facts'!$F:$F,MATCH(Solver!$Z$1,'All Facts'!$B:$B,0),1)*$AB2</f>
        <v>41.414942541118855</v>
      </c>
      <c r="AN2">
        <f>INDEX('All Facts'!R:R,MATCH(Solver!$Z$1,'All Facts'!$B:$B,0),1)/INDEX('All Facts'!$F:$F,MATCH(Solver!$Z$1,'All Facts'!$B:$B,0),1)*$AB2</f>
        <v>4.1414942541118854E-2</v>
      </c>
      <c r="AO2">
        <f>INDEX('All Facts'!S:S,MATCH(Solver!$Z$1,'All Facts'!$B:$B,0),1)/INDEX('All Facts'!$F:$F,MATCH(Solver!$Z$1,'All Facts'!$B:$B,0),1)*$AB2</f>
        <v>6.2122413811678276</v>
      </c>
      <c r="AP2">
        <f>INDEX('All Facts'!T:T,MATCH(Solver!$Z$1,'All Facts'!$B:$B,0),1)/INDEX('All Facts'!$F:$F,MATCH(Solver!$Z$1,'All Facts'!$B:$B,0),1)*$AB2</f>
        <v>0</v>
      </c>
      <c r="AQ2">
        <f>INDEX('All Facts'!U:U,MATCH(Solver!$Z$1,'All Facts'!$B:$B,0),1)/INDEX('All Facts'!$F:$F,MATCH(Solver!$Z$1,'All Facts'!$B:$B,0),1)*$AB2</f>
        <v>0</v>
      </c>
      <c r="AR2">
        <f>INDEX('All Facts'!V:V,MATCH(Solver!$Z$1,'All Facts'!$B:$B,0),1)/INDEX('All Facts'!$F:$F,MATCH(Solver!$Z$1,'All Facts'!$B:$B,0),1)*$AB2</f>
        <v>0</v>
      </c>
      <c r="AS2">
        <f>INDEX('All Facts'!W:W,MATCH(Solver!$Z$1,'All Facts'!$B:$B,0),1)/INDEX('All Facts'!$F:$F,MATCH(Solver!$Z$1,'All Facts'!$B:$B,0),1)*$AB2</f>
        <v>0</v>
      </c>
      <c r="AT2">
        <f>INDEX('All Facts'!X:X,MATCH(Solver!$Z$1,'All Facts'!$B:$B,0),1)/INDEX('All Facts'!$F:$F,MATCH(Solver!$Z$1,'All Facts'!$B:$B,0),1)*$AB2</f>
        <v>0</v>
      </c>
      <c r="AU2">
        <f>INDEX('All Facts'!Y:Y,MATCH(Solver!$Z$1,'All Facts'!$B:$B,0),1)/INDEX('All Facts'!$F:$F,MATCH(Solver!$Z$1,'All Facts'!$B:$B,0),1)*$AB2</f>
        <v>0</v>
      </c>
      <c r="AV2">
        <f>INDEX('All Facts'!Z:Z,MATCH(Solver!$Z$1,'All Facts'!$B:$B,0),1)/INDEX('All Facts'!$F:$F,MATCH(Solver!$Z$1,'All Facts'!$B:$B,0),1)*$AB2</f>
        <v>0</v>
      </c>
      <c r="AW2" s="7">
        <f>ROUNDDOWN(6/28*Solver!AB2,0)</f>
        <v>1</v>
      </c>
    </row>
    <row r="3" spans="1:49" x14ac:dyDescent="0.25">
      <c r="B3" s="4" t="s">
        <v>30</v>
      </c>
      <c r="C3" s="12">
        <v>60</v>
      </c>
      <c r="D3" s="4">
        <f>INDEX('All Facts'!G:G,MATCH(Solver!$B3,'All Facts'!$B:$B,0),1)/INDEX('All Facts'!$F:$F,MATCH(Solver!$B3,'All Facts'!$B:$B,0),1)*$C3</f>
        <v>337.5</v>
      </c>
      <c r="E3" s="4">
        <f>INDEX('All Facts'!H:H,MATCH(Solver!$B3,'All Facts'!$B:$B,0),1)/INDEX('All Facts'!$F:$F,MATCH(Solver!$B3,'All Facts'!$B:$B,0),1)*$C3</f>
        <v>28.125</v>
      </c>
      <c r="F3" s="4">
        <f>INDEX('All Facts'!I:I,MATCH(Solver!$B3,'All Facts'!$B:$B,0),1)/INDEX('All Facts'!$F:$F,MATCH(Solver!$B3,'All Facts'!$B:$B,0),1)*$C3</f>
        <v>13.125</v>
      </c>
      <c r="G3" s="4">
        <f>INDEX('All Facts'!J:J,MATCH(Solver!$B3,'All Facts'!$B:$B,0),1)/INDEX('All Facts'!$F:$F,MATCH(Solver!$B3,'All Facts'!$B:$B,0),1)*$C3</f>
        <v>13.125</v>
      </c>
      <c r="H3" s="4">
        <f>INDEX('All Facts'!K:K,MATCH(Solver!$B3,'All Facts'!$B:$B,0),1)/INDEX('All Facts'!$F:$F,MATCH(Solver!$B3,'All Facts'!$B:$B,0),1)*$C3</f>
        <v>4.6875</v>
      </c>
      <c r="I3" s="4">
        <f>INDEX('All Facts'!L:L,MATCH(Solver!$B3,'All Facts'!$B:$B,0),1)/INDEX('All Facts'!$F:$F,MATCH(Solver!$B3,'All Facts'!$B:$B,0),1)*$C3</f>
        <v>0</v>
      </c>
      <c r="J3" s="4">
        <f>INDEX('All Facts'!M:M,MATCH(Solver!$B3,'All Facts'!$B:$B,0),1)/INDEX('All Facts'!$F:$F,MATCH(Solver!$B3,'All Facts'!$B:$B,0),1)*$C3</f>
        <v>0</v>
      </c>
      <c r="K3" s="4">
        <f>INDEX('All Facts'!N:N,MATCH(Solver!$B3,'All Facts'!$B:$B,0),1)/INDEX('All Facts'!$F:$F,MATCH(Solver!$B3,'All Facts'!$B:$B,0),1)*$C3</f>
        <v>0</v>
      </c>
      <c r="L3" s="4">
        <f>INDEX('All Facts'!O:O,MATCH(Solver!$B3,'All Facts'!$B:$B,0),1)/INDEX('All Facts'!$F:$F,MATCH(Solver!$B3,'All Facts'!$B:$B,0),1)*$C3</f>
        <v>281.25</v>
      </c>
      <c r="M3" s="4">
        <f>INDEX('All Facts'!P:P,MATCH(Solver!$B3,'All Facts'!$B:$B,0),1)/INDEX('All Facts'!$F:$F,MATCH(Solver!$B3,'All Facts'!$B:$B,0),1)*$C3</f>
        <v>0</v>
      </c>
      <c r="N3" s="4">
        <f>INDEX('All Facts'!Q:Q,MATCH(Solver!$B3,'All Facts'!$B:$B,0),1)/INDEX('All Facts'!$F:$F,MATCH(Solver!$B3,'All Facts'!$B:$B,0),1)*$C3</f>
        <v>56.25</v>
      </c>
      <c r="O3" s="4">
        <f>INDEX('All Facts'!R:R,MATCH(Solver!$B3,'All Facts'!$B:$B,0),1)/INDEX('All Facts'!$F:$F,MATCH(Solver!$B3,'All Facts'!$B:$B,0),1)*$C3</f>
        <v>1.875</v>
      </c>
      <c r="P3" s="4">
        <f>INDEX('All Facts'!S:S,MATCH(Solver!$B3,'All Facts'!$B:$B,0),1)/INDEX('All Facts'!$F:$F,MATCH(Solver!$B3,'All Facts'!$B:$B,0),1)*$C3</f>
        <v>393.75</v>
      </c>
      <c r="Q3" s="4">
        <f>INDEX('All Facts'!T:T,MATCH(Solver!$B3,'All Facts'!$B:$B,0),1)/INDEX('All Facts'!$F:$F,MATCH(Solver!$B3,'All Facts'!$B:$B,0),1)*$C3</f>
        <v>3.75</v>
      </c>
      <c r="R3" s="4">
        <f>INDEX('All Facts'!U:U,MATCH(Solver!$B3,'All Facts'!$B:$B,0),1)/INDEX('All Facts'!$F:$F,MATCH(Solver!$B3,'All Facts'!$B:$B,0),1)*$C3</f>
        <v>7.5</v>
      </c>
      <c r="S3" s="4">
        <f>INDEX('All Facts'!V:V,MATCH(Solver!$B3,'All Facts'!$B:$B,0),1)/INDEX('All Facts'!$F:$F,MATCH(Solver!$B3,'All Facts'!$B:$B,0),1)*$C3</f>
        <v>0</v>
      </c>
      <c r="T3" s="4">
        <f>INDEX('All Facts'!W:W,MATCH(Solver!$B3,'All Facts'!$B:$B,0),1)/INDEX('All Facts'!$F:$F,MATCH(Solver!$B3,'All Facts'!$B:$B,0),1)*$C3</f>
        <v>0</v>
      </c>
      <c r="U3" s="4">
        <f>INDEX('All Facts'!X:X,MATCH(Solver!$B3,'All Facts'!$B:$B,0),1)/INDEX('All Facts'!$F:$F,MATCH(Solver!$B3,'All Facts'!$B:$B,0),1)*$C3</f>
        <v>0</v>
      </c>
      <c r="V3" s="4">
        <f>INDEX('All Facts'!Y:Y,MATCH(Solver!$B3,'All Facts'!$B:$B,0),1)/INDEX('All Facts'!$F:$F,MATCH(Solver!$B3,'All Facts'!$B:$B,0),1)*$C3</f>
        <v>0</v>
      </c>
      <c r="W3" s="4">
        <f>INDEX('All Facts'!Z:Z,MATCH(Solver!$B3,'All Facts'!$B:$B,0),1)/INDEX('All Facts'!$F:$F,MATCH(Solver!$B3,'All Facts'!$B:$B,0),1)*$C3</f>
        <v>0</v>
      </c>
      <c r="AA3">
        <v>2</v>
      </c>
      <c r="AB3" s="6">
        <v>1.1985892261803906E-10</v>
      </c>
      <c r="AC3">
        <f>INDEX('All Facts'!G:G,MATCH(Solver!$Z$1,'All Facts'!$B:$B,0),1)/INDEX('All Facts'!$F:$F,MATCH(Solver!$Z$1,'All Facts'!$B:$B,0),1)*$AB3</f>
        <v>4.7087433885658198E-10</v>
      </c>
      <c r="AD3">
        <f>INDEX('All Facts'!H:H,MATCH(Solver!$Z$1,'All Facts'!$B:$B,0),1)/INDEX('All Facts'!$F:$F,MATCH(Solver!$Z$1,'All Facts'!$B:$B,0),1)*$AB3</f>
        <v>3.8526082270083984E-11</v>
      </c>
      <c r="AE3">
        <f>INDEX('All Facts'!I:I,MATCH(Solver!$Z$1,'All Facts'!$B:$B,0),1)/INDEX('All Facts'!$F:$F,MATCH(Solver!$Z$1,'All Facts'!$B:$B,0),1)*$AB3</f>
        <v>4.2806758077871093E-12</v>
      </c>
      <c r="AF3">
        <f>INDEX('All Facts'!J:J,MATCH(Solver!$Z$1,'All Facts'!$B:$B,0),1)/INDEX('All Facts'!$F:$F,MATCH(Solver!$Z$1,'All Facts'!$B:$B,0),1)*$AB3</f>
        <v>2.9964730654509764E-11</v>
      </c>
      <c r="AG3">
        <f>INDEX('All Facts'!K:K,MATCH(Solver!$Z$1,'All Facts'!$B:$B,0),1)/INDEX('All Facts'!$F:$F,MATCH(Solver!$Z$1,'All Facts'!$B:$B,0),1)*$AB3</f>
        <v>2.1403379038935547E-11</v>
      </c>
      <c r="AH3">
        <f>INDEX('All Facts'!L:L,MATCH(Solver!$Z$1,'All Facts'!$B:$B,0),1)/INDEX('All Facts'!$F:$F,MATCH(Solver!$Z$1,'All Facts'!$B:$B,0),1)*$AB3</f>
        <v>0</v>
      </c>
      <c r="AI3">
        <f>INDEX('All Facts'!M:M,MATCH(Solver!$Z$1,'All Facts'!$B:$B,0),1)/INDEX('All Facts'!$F:$F,MATCH(Solver!$Z$1,'All Facts'!$B:$B,0),1)*$AB3</f>
        <v>0</v>
      </c>
      <c r="AJ3">
        <f>INDEX('All Facts'!N:N,MATCH(Solver!$Z$1,'All Facts'!$B:$B,0),1)/INDEX('All Facts'!$F:$F,MATCH(Solver!$Z$1,'All Facts'!$B:$B,0),1)*$AB3</f>
        <v>1.2842027423361328E-10</v>
      </c>
      <c r="AK3">
        <f>INDEX('All Facts'!O:O,MATCH(Solver!$Z$1,'All Facts'!$B:$B,0),1)/INDEX('All Facts'!$F:$F,MATCH(Solver!$Z$1,'All Facts'!$B:$B,0),1)*$AB3</f>
        <v>7.2771488732380853E-10</v>
      </c>
      <c r="AL3">
        <f>INDEX('All Facts'!P:P,MATCH(Solver!$Z$1,'All Facts'!$B:$B,0),1)/INDEX('All Facts'!$F:$F,MATCH(Solver!$Z$1,'All Facts'!$B:$B,0),1)*$AB3</f>
        <v>8.561351615574219E-13</v>
      </c>
      <c r="AM3">
        <f>INDEX('All Facts'!Q:Q,MATCH(Solver!$Z$1,'All Facts'!$B:$B,0),1)/INDEX('All Facts'!$F:$F,MATCH(Solver!$Z$1,'All Facts'!$B:$B,0),1)*$AB3</f>
        <v>8.5613516155742191E-10</v>
      </c>
      <c r="AN3">
        <f>INDEX('All Facts'!R:R,MATCH(Solver!$Z$1,'All Facts'!$B:$B,0),1)/INDEX('All Facts'!$F:$F,MATCH(Solver!$Z$1,'All Facts'!$B:$B,0),1)*$AB3</f>
        <v>8.561351615574219E-13</v>
      </c>
      <c r="AO3">
        <f>INDEX('All Facts'!S:S,MATCH(Solver!$Z$1,'All Facts'!$B:$B,0),1)/INDEX('All Facts'!$F:$F,MATCH(Solver!$Z$1,'All Facts'!$B:$B,0),1)*$AB3</f>
        <v>1.2842027423361328E-10</v>
      </c>
      <c r="AP3">
        <f>INDEX('All Facts'!T:T,MATCH(Solver!$Z$1,'All Facts'!$B:$B,0),1)/INDEX('All Facts'!$F:$F,MATCH(Solver!$Z$1,'All Facts'!$B:$B,0),1)*$AB3</f>
        <v>0</v>
      </c>
      <c r="AQ3">
        <f>INDEX('All Facts'!U:U,MATCH(Solver!$Z$1,'All Facts'!$B:$B,0),1)/INDEX('All Facts'!$F:$F,MATCH(Solver!$Z$1,'All Facts'!$B:$B,0),1)*$AB3</f>
        <v>0</v>
      </c>
      <c r="AR3">
        <f>INDEX('All Facts'!V:V,MATCH(Solver!$Z$1,'All Facts'!$B:$B,0),1)/INDEX('All Facts'!$F:$F,MATCH(Solver!$Z$1,'All Facts'!$B:$B,0),1)*$AB3</f>
        <v>0</v>
      </c>
      <c r="AS3">
        <f>INDEX('All Facts'!W:W,MATCH(Solver!$Z$1,'All Facts'!$B:$B,0),1)/INDEX('All Facts'!$F:$F,MATCH(Solver!$Z$1,'All Facts'!$B:$B,0),1)*$AB3</f>
        <v>0</v>
      </c>
      <c r="AT3">
        <f>INDEX('All Facts'!X:X,MATCH(Solver!$Z$1,'All Facts'!$B:$B,0),1)/INDEX('All Facts'!$F:$F,MATCH(Solver!$Z$1,'All Facts'!$B:$B,0),1)*$AB3</f>
        <v>0</v>
      </c>
      <c r="AU3">
        <f>INDEX('All Facts'!Y:Y,MATCH(Solver!$Z$1,'All Facts'!$B:$B,0),1)/INDEX('All Facts'!$F:$F,MATCH(Solver!$Z$1,'All Facts'!$B:$B,0),1)*$AB3</f>
        <v>0</v>
      </c>
      <c r="AV3">
        <f>INDEX('All Facts'!Z:Z,MATCH(Solver!$Z$1,'All Facts'!$B:$B,0),1)/INDEX('All Facts'!$F:$F,MATCH(Solver!$Z$1,'All Facts'!$B:$B,0),1)*$AB3</f>
        <v>0</v>
      </c>
      <c r="AW3" s="7">
        <f>ROUNDDOWN(6/28*Solver!AB3,0)</f>
        <v>0</v>
      </c>
    </row>
    <row r="4" spans="1:49" ht="30" x14ac:dyDescent="0.25">
      <c r="B4" s="4" t="s">
        <v>32</v>
      </c>
      <c r="C4">
        <v>15</v>
      </c>
      <c r="D4" s="4">
        <f>INDEX('All Facts'!G:G,MATCH(Solver!$B4,'All Facts'!$B:$B,0),1)/INDEX('All Facts'!$F:$F,MATCH(Solver!$B4,'All Facts'!$B:$B,0),1)*$C4</f>
        <v>80</v>
      </c>
      <c r="E4" s="4">
        <f>INDEX('All Facts'!H:H,MATCH(Solver!$B4,'All Facts'!$B:$B,0),1)/INDEX('All Facts'!$F:$F,MATCH(Solver!$B4,'All Facts'!$B:$B,0),1)*$C4</f>
        <v>6</v>
      </c>
      <c r="F4" s="4">
        <f>INDEX('All Facts'!I:I,MATCH(Solver!$B4,'All Facts'!$B:$B,0),1)/INDEX('All Facts'!$F:$F,MATCH(Solver!$B4,'All Facts'!$B:$B,0),1)*$C4</f>
        <v>0</v>
      </c>
      <c r="G4" s="4">
        <f>INDEX('All Facts'!J:J,MATCH(Solver!$B4,'All Facts'!$B:$B,0),1)/INDEX('All Facts'!$F:$F,MATCH(Solver!$B4,'All Facts'!$B:$B,0),1)*$C4</f>
        <v>4</v>
      </c>
      <c r="H4" s="4">
        <f>INDEX('All Facts'!K:K,MATCH(Solver!$B4,'All Facts'!$B:$B,0),1)/INDEX('All Facts'!$F:$F,MATCH(Solver!$B4,'All Facts'!$B:$B,0),1)*$C4</f>
        <v>2.5</v>
      </c>
      <c r="I4" s="4">
        <f>INDEX('All Facts'!L:L,MATCH(Solver!$B4,'All Facts'!$B:$B,0),1)/INDEX('All Facts'!$F:$F,MATCH(Solver!$B4,'All Facts'!$B:$B,0),1)*$C4</f>
        <v>0</v>
      </c>
      <c r="J4" s="4">
        <f>INDEX('All Facts'!M:M,MATCH(Solver!$B4,'All Facts'!$B:$B,0),1)/INDEX('All Facts'!$F:$F,MATCH(Solver!$B4,'All Facts'!$B:$B,0),1)*$C4</f>
        <v>0</v>
      </c>
      <c r="K4" s="4">
        <f>INDEX('All Facts'!N:N,MATCH(Solver!$B4,'All Facts'!$B:$B,0),1)/INDEX('All Facts'!$F:$F,MATCH(Solver!$B4,'All Facts'!$B:$B,0),1)*$C4</f>
        <v>15</v>
      </c>
      <c r="L4" s="4">
        <f>INDEX('All Facts'!O:O,MATCH(Solver!$B4,'All Facts'!$B:$B,0),1)/INDEX('All Facts'!$F:$F,MATCH(Solver!$B4,'All Facts'!$B:$B,0),1)*$C4</f>
        <v>180</v>
      </c>
      <c r="M4" s="4">
        <f>INDEX('All Facts'!P:P,MATCH(Solver!$B4,'All Facts'!$B:$B,0),1)/INDEX('All Facts'!$F:$F,MATCH(Solver!$B4,'All Facts'!$B:$B,0),1)*$C4</f>
        <v>0</v>
      </c>
      <c r="N4" s="4">
        <f>INDEX('All Facts'!Q:Q,MATCH(Solver!$B4,'All Facts'!$B:$B,0),1)/INDEX('All Facts'!$F:$F,MATCH(Solver!$B4,'All Facts'!$B:$B,0),1)*$C4</f>
        <v>0</v>
      </c>
      <c r="O4" s="4">
        <f>INDEX('All Facts'!R:R,MATCH(Solver!$B4,'All Facts'!$B:$B,0),1)/INDEX('All Facts'!$F:$F,MATCH(Solver!$B4,'All Facts'!$B:$B,0),1)*$C4</f>
        <v>0.36</v>
      </c>
      <c r="P4" s="4">
        <f>INDEX('All Facts'!S:S,MATCH(Solver!$B4,'All Facts'!$B:$B,0),1)/INDEX('All Facts'!$F:$F,MATCH(Solver!$B4,'All Facts'!$B:$B,0),1)*$C4</f>
        <v>0</v>
      </c>
      <c r="Q4" s="4">
        <f>INDEX('All Facts'!T:T,MATCH(Solver!$B4,'All Facts'!$B:$B,0),1)/INDEX('All Facts'!$F:$F,MATCH(Solver!$B4,'All Facts'!$B:$B,0),1)*$C4</f>
        <v>0</v>
      </c>
      <c r="R4" s="4">
        <f>INDEX('All Facts'!U:U,MATCH(Solver!$B4,'All Facts'!$B:$B,0),1)/INDEX('All Facts'!$F:$F,MATCH(Solver!$B4,'All Facts'!$B:$B,0),1)*$C4</f>
        <v>0</v>
      </c>
      <c r="S4" s="4">
        <f>INDEX('All Facts'!V:V,MATCH(Solver!$B4,'All Facts'!$B:$B,0),1)/INDEX('All Facts'!$F:$F,MATCH(Solver!$B4,'All Facts'!$B:$B,0),1)*$C4</f>
        <v>0</v>
      </c>
      <c r="T4" s="4">
        <f>INDEX('All Facts'!W:W,MATCH(Solver!$B4,'All Facts'!$B:$B,0),1)/INDEX('All Facts'!$F:$F,MATCH(Solver!$B4,'All Facts'!$B:$B,0),1)*$C4</f>
        <v>0</v>
      </c>
      <c r="U4" s="4">
        <f>INDEX('All Facts'!X:X,MATCH(Solver!$B4,'All Facts'!$B:$B,0),1)/INDEX('All Facts'!$F:$F,MATCH(Solver!$B4,'All Facts'!$B:$B,0),1)*$C4</f>
        <v>0</v>
      </c>
      <c r="V4" s="4">
        <f>INDEX('All Facts'!Y:Y,MATCH(Solver!$B4,'All Facts'!$B:$B,0),1)/INDEX('All Facts'!$F:$F,MATCH(Solver!$B4,'All Facts'!$B:$B,0),1)*$C4</f>
        <v>0</v>
      </c>
      <c r="W4" s="4">
        <f>INDEX('All Facts'!Z:Z,MATCH(Solver!$B4,'All Facts'!$B:$B,0),1)/INDEX('All Facts'!$F:$F,MATCH(Solver!$B4,'All Facts'!$B:$B,0),1)*$C4</f>
        <v>0</v>
      </c>
      <c r="AA4">
        <v>3</v>
      </c>
      <c r="AB4" s="6">
        <v>3.6260732072883487E-11</v>
      </c>
      <c r="AC4">
        <f>INDEX('All Facts'!G:G,MATCH(Solver!$Z$1,'All Facts'!$B:$B,0),1)/INDEX('All Facts'!$F:$F,MATCH(Solver!$Z$1,'All Facts'!$B:$B,0),1)*$AB4</f>
        <v>1.4245287600061368E-10</v>
      </c>
      <c r="AD4">
        <f>INDEX('All Facts'!H:H,MATCH(Solver!$Z$1,'All Facts'!$B:$B,0),1)/INDEX('All Facts'!$F:$F,MATCH(Solver!$Z$1,'All Facts'!$B:$B,0),1)*$AB4</f>
        <v>1.1655235309141122E-11</v>
      </c>
      <c r="AE4">
        <f>INDEX('All Facts'!I:I,MATCH(Solver!$Z$1,'All Facts'!$B:$B,0),1)/INDEX('All Facts'!$F:$F,MATCH(Solver!$Z$1,'All Facts'!$B:$B,0),1)*$AB4</f>
        <v>1.2950261454601244E-12</v>
      </c>
      <c r="AF4">
        <f>INDEX('All Facts'!J:J,MATCH(Solver!$Z$1,'All Facts'!$B:$B,0),1)/INDEX('All Facts'!$F:$F,MATCH(Solver!$Z$1,'All Facts'!$B:$B,0),1)*$AB4</f>
        <v>9.0651830182208717E-12</v>
      </c>
      <c r="AG4">
        <f>INDEX('All Facts'!K:K,MATCH(Solver!$Z$1,'All Facts'!$B:$B,0),1)/INDEX('All Facts'!$F:$F,MATCH(Solver!$Z$1,'All Facts'!$B:$B,0),1)*$AB4</f>
        <v>6.4751307273006228E-12</v>
      </c>
      <c r="AH4">
        <f>INDEX('All Facts'!L:L,MATCH(Solver!$Z$1,'All Facts'!$B:$B,0),1)/INDEX('All Facts'!$F:$F,MATCH(Solver!$Z$1,'All Facts'!$B:$B,0),1)*$AB4</f>
        <v>0</v>
      </c>
      <c r="AI4">
        <f>INDEX('All Facts'!M:M,MATCH(Solver!$Z$1,'All Facts'!$B:$B,0),1)/INDEX('All Facts'!$F:$F,MATCH(Solver!$Z$1,'All Facts'!$B:$B,0),1)*$AB4</f>
        <v>0</v>
      </c>
      <c r="AJ4">
        <f>INDEX('All Facts'!N:N,MATCH(Solver!$Z$1,'All Facts'!$B:$B,0),1)/INDEX('All Facts'!$F:$F,MATCH(Solver!$Z$1,'All Facts'!$B:$B,0),1)*$AB4</f>
        <v>3.8850784363803734E-11</v>
      </c>
      <c r="AK4">
        <f>INDEX('All Facts'!O:O,MATCH(Solver!$Z$1,'All Facts'!$B:$B,0),1)/INDEX('All Facts'!$F:$F,MATCH(Solver!$Z$1,'All Facts'!$B:$B,0),1)*$AB4</f>
        <v>2.2015444472822116E-10</v>
      </c>
      <c r="AL4">
        <f>INDEX('All Facts'!P:P,MATCH(Solver!$Z$1,'All Facts'!$B:$B,0),1)/INDEX('All Facts'!$F:$F,MATCH(Solver!$Z$1,'All Facts'!$B:$B,0),1)*$AB4</f>
        <v>2.5900522909202492E-13</v>
      </c>
      <c r="AM4">
        <f>INDEX('All Facts'!Q:Q,MATCH(Solver!$Z$1,'All Facts'!$B:$B,0),1)/INDEX('All Facts'!$F:$F,MATCH(Solver!$Z$1,'All Facts'!$B:$B,0),1)*$AB4</f>
        <v>2.590052290920249E-10</v>
      </c>
      <c r="AN4">
        <f>INDEX('All Facts'!R:R,MATCH(Solver!$Z$1,'All Facts'!$B:$B,0),1)/INDEX('All Facts'!$F:$F,MATCH(Solver!$Z$1,'All Facts'!$B:$B,0),1)*$AB4</f>
        <v>2.5900522909202492E-13</v>
      </c>
      <c r="AO4">
        <f>INDEX('All Facts'!S:S,MATCH(Solver!$Z$1,'All Facts'!$B:$B,0),1)/INDEX('All Facts'!$F:$F,MATCH(Solver!$Z$1,'All Facts'!$B:$B,0),1)*$AB4</f>
        <v>3.8850784363803734E-11</v>
      </c>
      <c r="AP4">
        <f>INDEX('All Facts'!T:T,MATCH(Solver!$Z$1,'All Facts'!$B:$B,0),1)/INDEX('All Facts'!$F:$F,MATCH(Solver!$Z$1,'All Facts'!$B:$B,0),1)*$AB4</f>
        <v>0</v>
      </c>
      <c r="AQ4">
        <f>INDEX('All Facts'!U:U,MATCH(Solver!$Z$1,'All Facts'!$B:$B,0),1)/INDEX('All Facts'!$F:$F,MATCH(Solver!$Z$1,'All Facts'!$B:$B,0),1)*$AB4</f>
        <v>0</v>
      </c>
      <c r="AR4">
        <f>INDEX('All Facts'!V:V,MATCH(Solver!$Z$1,'All Facts'!$B:$B,0),1)/INDEX('All Facts'!$F:$F,MATCH(Solver!$Z$1,'All Facts'!$B:$B,0),1)*$AB4</f>
        <v>0</v>
      </c>
      <c r="AS4">
        <f>INDEX('All Facts'!W:W,MATCH(Solver!$Z$1,'All Facts'!$B:$B,0),1)/INDEX('All Facts'!$F:$F,MATCH(Solver!$Z$1,'All Facts'!$B:$B,0),1)*$AB4</f>
        <v>0</v>
      </c>
      <c r="AT4">
        <f>INDEX('All Facts'!X:X,MATCH(Solver!$Z$1,'All Facts'!$B:$B,0),1)/INDEX('All Facts'!$F:$F,MATCH(Solver!$Z$1,'All Facts'!$B:$B,0),1)*$AB4</f>
        <v>0</v>
      </c>
      <c r="AU4">
        <f>INDEX('All Facts'!Y:Y,MATCH(Solver!$Z$1,'All Facts'!$B:$B,0),1)/INDEX('All Facts'!$F:$F,MATCH(Solver!$Z$1,'All Facts'!$B:$B,0),1)*$AB4</f>
        <v>0</v>
      </c>
      <c r="AV4">
        <f>INDEX('All Facts'!Z:Z,MATCH(Solver!$Z$1,'All Facts'!$B:$B,0),1)/INDEX('All Facts'!$F:$F,MATCH(Solver!$Z$1,'All Facts'!$B:$B,0),1)*$AB4</f>
        <v>0</v>
      </c>
      <c r="AW4" s="7">
        <f>ROUNDDOWN(6/28*Solver!AB4,0)</f>
        <v>0</v>
      </c>
    </row>
    <row r="5" spans="1:49" x14ac:dyDescent="0.25">
      <c r="B5" s="4" t="s">
        <v>45</v>
      </c>
      <c r="C5" s="13">
        <f>SUM(C2:C4)</f>
        <v>225</v>
      </c>
      <c r="D5">
        <f t="shared" ref="D5:W5" si="0">SUM(D2:D4)</f>
        <v>528.98648648648646</v>
      </c>
      <c r="E5">
        <f t="shared" si="0"/>
        <v>34.125</v>
      </c>
      <c r="F5">
        <f t="shared" si="0"/>
        <v>39.476351351351354</v>
      </c>
      <c r="G5">
        <f t="shared" si="0"/>
        <v>20.16554054054054</v>
      </c>
      <c r="H5">
        <f t="shared" si="0"/>
        <v>7.1875</v>
      </c>
      <c r="I5">
        <f t="shared" si="0"/>
        <v>0</v>
      </c>
      <c r="J5">
        <f t="shared" si="0"/>
        <v>0</v>
      </c>
      <c r="K5">
        <f t="shared" si="0"/>
        <v>15</v>
      </c>
      <c r="L5">
        <f t="shared" si="0"/>
        <v>461.25</v>
      </c>
      <c r="M5">
        <f t="shared" si="0"/>
        <v>0</v>
      </c>
      <c r="N5">
        <f t="shared" si="0"/>
        <v>76.520270270270274</v>
      </c>
      <c r="O5">
        <f t="shared" si="0"/>
        <v>3.3498648648648648</v>
      </c>
      <c r="P5">
        <f t="shared" si="0"/>
        <v>1022.1283783783784</v>
      </c>
      <c r="Q5">
        <f t="shared" si="0"/>
        <v>5.7770270270270272</v>
      </c>
      <c r="R5">
        <f t="shared" si="0"/>
        <v>8.513513513513514</v>
      </c>
      <c r="S5">
        <f t="shared" si="0"/>
        <v>26.351351351351354</v>
      </c>
      <c r="T5">
        <f t="shared" si="0"/>
        <v>0.20270270270270271</v>
      </c>
      <c r="U5">
        <f t="shared" si="0"/>
        <v>0</v>
      </c>
      <c r="V5">
        <f t="shared" si="0"/>
        <v>0</v>
      </c>
      <c r="W5">
        <f t="shared" si="0"/>
        <v>0</v>
      </c>
      <c r="AA5">
        <v>4</v>
      </c>
      <c r="AB5" s="6">
        <v>1.5175514534981009E-10</v>
      </c>
      <c r="AC5">
        <f>INDEX('All Facts'!G:G,MATCH(Solver!$Z$1,'All Facts'!$B:$B,0),1)/INDEX('All Facts'!$F:$F,MATCH(Solver!$Z$1,'All Facts'!$B:$B,0),1)*$AB5</f>
        <v>5.9618092815996817E-10</v>
      </c>
      <c r="AD5">
        <f>INDEX('All Facts'!H:H,MATCH(Solver!$Z$1,'All Facts'!$B:$B,0),1)/INDEX('All Facts'!$F:$F,MATCH(Solver!$Z$1,'All Facts'!$B:$B,0),1)*$AB5</f>
        <v>4.8778439576724678E-11</v>
      </c>
      <c r="AE5">
        <f>INDEX('All Facts'!I:I,MATCH(Solver!$Z$1,'All Facts'!$B:$B,0),1)/INDEX('All Facts'!$F:$F,MATCH(Solver!$Z$1,'All Facts'!$B:$B,0),1)*$AB5</f>
        <v>5.4198266196360746E-12</v>
      </c>
      <c r="AF5">
        <f>INDEX('All Facts'!J:J,MATCH(Solver!$Z$1,'All Facts'!$B:$B,0),1)/INDEX('All Facts'!$F:$F,MATCH(Solver!$Z$1,'All Facts'!$B:$B,0),1)*$AB5</f>
        <v>3.7938786337452522E-11</v>
      </c>
      <c r="AG5">
        <f>INDEX('All Facts'!K:K,MATCH(Solver!$Z$1,'All Facts'!$B:$B,0),1)/INDEX('All Facts'!$F:$F,MATCH(Solver!$Z$1,'All Facts'!$B:$B,0),1)*$AB5</f>
        <v>2.7099133098180373E-11</v>
      </c>
      <c r="AH5">
        <f>INDEX('All Facts'!L:L,MATCH(Solver!$Z$1,'All Facts'!$B:$B,0),1)/INDEX('All Facts'!$F:$F,MATCH(Solver!$Z$1,'All Facts'!$B:$B,0),1)*$AB5</f>
        <v>0</v>
      </c>
      <c r="AI5">
        <f>INDEX('All Facts'!M:M,MATCH(Solver!$Z$1,'All Facts'!$B:$B,0),1)/INDEX('All Facts'!$F:$F,MATCH(Solver!$Z$1,'All Facts'!$B:$B,0),1)*$AB5</f>
        <v>0</v>
      </c>
      <c r="AJ5">
        <f>INDEX('All Facts'!N:N,MATCH(Solver!$Z$1,'All Facts'!$B:$B,0),1)/INDEX('All Facts'!$F:$F,MATCH(Solver!$Z$1,'All Facts'!$B:$B,0),1)*$AB5</f>
        <v>1.6259479858908223E-10</v>
      </c>
      <c r="AK5">
        <f>INDEX('All Facts'!O:O,MATCH(Solver!$Z$1,'All Facts'!$B:$B,0),1)/INDEX('All Facts'!$F:$F,MATCH(Solver!$Z$1,'All Facts'!$B:$B,0),1)*$AB5</f>
        <v>9.2137052533813267E-10</v>
      </c>
      <c r="AL5">
        <f>INDEX('All Facts'!P:P,MATCH(Solver!$Z$1,'All Facts'!$B:$B,0),1)/INDEX('All Facts'!$F:$F,MATCH(Solver!$Z$1,'All Facts'!$B:$B,0),1)*$AB5</f>
        <v>1.083965323927215E-12</v>
      </c>
      <c r="AM5">
        <f>INDEX('All Facts'!Q:Q,MATCH(Solver!$Z$1,'All Facts'!$B:$B,0),1)/INDEX('All Facts'!$F:$F,MATCH(Solver!$Z$1,'All Facts'!$B:$B,0),1)*$AB5</f>
        <v>1.0839653239272151E-9</v>
      </c>
      <c r="AN5">
        <f>INDEX('All Facts'!R:R,MATCH(Solver!$Z$1,'All Facts'!$B:$B,0),1)/INDEX('All Facts'!$F:$F,MATCH(Solver!$Z$1,'All Facts'!$B:$B,0),1)*$AB5</f>
        <v>1.083965323927215E-12</v>
      </c>
      <c r="AO5">
        <f>INDEX('All Facts'!S:S,MATCH(Solver!$Z$1,'All Facts'!$B:$B,0),1)/INDEX('All Facts'!$F:$F,MATCH(Solver!$Z$1,'All Facts'!$B:$B,0),1)*$AB5</f>
        <v>1.6259479858908223E-10</v>
      </c>
      <c r="AP5">
        <f>INDEX('All Facts'!T:T,MATCH(Solver!$Z$1,'All Facts'!$B:$B,0),1)/INDEX('All Facts'!$F:$F,MATCH(Solver!$Z$1,'All Facts'!$B:$B,0),1)*$AB5</f>
        <v>0</v>
      </c>
      <c r="AQ5">
        <f>INDEX('All Facts'!U:U,MATCH(Solver!$Z$1,'All Facts'!$B:$B,0),1)/INDEX('All Facts'!$F:$F,MATCH(Solver!$Z$1,'All Facts'!$B:$B,0),1)*$AB5</f>
        <v>0</v>
      </c>
      <c r="AR5">
        <f>INDEX('All Facts'!V:V,MATCH(Solver!$Z$1,'All Facts'!$B:$B,0),1)/INDEX('All Facts'!$F:$F,MATCH(Solver!$Z$1,'All Facts'!$B:$B,0),1)*$AB5</f>
        <v>0</v>
      </c>
      <c r="AS5">
        <f>INDEX('All Facts'!W:W,MATCH(Solver!$Z$1,'All Facts'!$B:$B,0),1)/INDEX('All Facts'!$F:$F,MATCH(Solver!$Z$1,'All Facts'!$B:$B,0),1)*$AB5</f>
        <v>0</v>
      </c>
      <c r="AT5">
        <f>INDEX('All Facts'!X:X,MATCH(Solver!$Z$1,'All Facts'!$B:$B,0),1)/INDEX('All Facts'!$F:$F,MATCH(Solver!$Z$1,'All Facts'!$B:$B,0),1)*$AB5</f>
        <v>0</v>
      </c>
      <c r="AU5">
        <f>INDEX('All Facts'!Y:Y,MATCH(Solver!$Z$1,'All Facts'!$B:$B,0),1)/INDEX('All Facts'!$F:$F,MATCH(Solver!$Z$1,'All Facts'!$B:$B,0),1)*$AB5</f>
        <v>0</v>
      </c>
      <c r="AV5">
        <f>INDEX('All Facts'!Z:Z,MATCH(Solver!$Z$1,'All Facts'!$B:$B,0),1)/INDEX('All Facts'!$F:$F,MATCH(Solver!$Z$1,'All Facts'!$B:$B,0),1)*$AB5</f>
        <v>0</v>
      </c>
      <c r="AW5" s="7">
        <f>ROUNDDOWN(6/28*Solver!AB5,0)</f>
        <v>0</v>
      </c>
    </row>
    <row r="6" spans="1:49" x14ac:dyDescent="0.25">
      <c r="AA6">
        <v>5</v>
      </c>
      <c r="AB6" s="6">
        <v>5.7980919557566395</v>
      </c>
      <c r="AC6">
        <f>INDEX('All Facts'!G:G,MATCH(Solver!$Z$1,'All Facts'!$B:$B,0),1)/INDEX('All Facts'!$F:$F,MATCH(Solver!$Z$1,'All Facts'!$B:$B,0),1)*$AB6</f>
        <v>22.778218397615369</v>
      </c>
      <c r="AD6">
        <f>INDEX('All Facts'!H:H,MATCH(Solver!$Z$1,'All Facts'!$B:$B,0),1)/INDEX('All Facts'!$F:$F,MATCH(Solver!$Z$1,'All Facts'!$B:$B,0),1)*$AB6</f>
        <v>1.8636724143503485</v>
      </c>
      <c r="AE6">
        <f>INDEX('All Facts'!I:I,MATCH(Solver!$Z$1,'All Facts'!$B:$B,0),1)/INDEX('All Facts'!$F:$F,MATCH(Solver!$Z$1,'All Facts'!$B:$B,0),1)*$AB6</f>
        <v>0.20707471270559424</v>
      </c>
      <c r="AF6">
        <f>INDEX('All Facts'!J:J,MATCH(Solver!$Z$1,'All Facts'!$B:$B,0),1)/INDEX('All Facts'!$F:$F,MATCH(Solver!$Z$1,'All Facts'!$B:$B,0),1)*$AB6</f>
        <v>1.4495229889391599</v>
      </c>
      <c r="AG6">
        <f>INDEX('All Facts'!K:K,MATCH(Solver!$Z$1,'All Facts'!$B:$B,0),1)/INDEX('All Facts'!$F:$F,MATCH(Solver!$Z$1,'All Facts'!$B:$B,0),1)*$AB6</f>
        <v>1.0353735635279713</v>
      </c>
      <c r="AH6">
        <f>INDEX('All Facts'!L:L,MATCH(Solver!$Z$1,'All Facts'!$B:$B,0),1)/INDEX('All Facts'!$F:$F,MATCH(Solver!$Z$1,'All Facts'!$B:$B,0),1)*$AB6</f>
        <v>0</v>
      </c>
      <c r="AI6">
        <f>INDEX('All Facts'!M:M,MATCH(Solver!$Z$1,'All Facts'!$B:$B,0),1)/INDEX('All Facts'!$F:$F,MATCH(Solver!$Z$1,'All Facts'!$B:$B,0),1)*$AB6</f>
        <v>0</v>
      </c>
      <c r="AJ6">
        <f>INDEX('All Facts'!N:N,MATCH(Solver!$Z$1,'All Facts'!$B:$B,0),1)/INDEX('All Facts'!$F:$F,MATCH(Solver!$Z$1,'All Facts'!$B:$B,0),1)*$AB6</f>
        <v>6.2122413811678276</v>
      </c>
      <c r="AK6">
        <f>INDEX('All Facts'!O:O,MATCH(Solver!$Z$1,'All Facts'!$B:$B,0),1)/INDEX('All Facts'!$F:$F,MATCH(Solver!$Z$1,'All Facts'!$B:$B,0),1)*$AB6</f>
        <v>35.202701159951026</v>
      </c>
      <c r="AL6">
        <f>INDEX('All Facts'!P:P,MATCH(Solver!$Z$1,'All Facts'!$B:$B,0),1)/INDEX('All Facts'!$F:$F,MATCH(Solver!$Z$1,'All Facts'!$B:$B,0),1)*$AB6</f>
        <v>4.1414942541118854E-2</v>
      </c>
      <c r="AM6">
        <f>INDEX('All Facts'!Q:Q,MATCH(Solver!$Z$1,'All Facts'!$B:$B,0),1)/INDEX('All Facts'!$F:$F,MATCH(Solver!$Z$1,'All Facts'!$B:$B,0),1)*$AB6</f>
        <v>41.414942541118855</v>
      </c>
      <c r="AN6">
        <f>INDEX('All Facts'!R:R,MATCH(Solver!$Z$1,'All Facts'!$B:$B,0),1)/INDEX('All Facts'!$F:$F,MATCH(Solver!$Z$1,'All Facts'!$B:$B,0),1)*$AB6</f>
        <v>4.1414942541118854E-2</v>
      </c>
      <c r="AO6">
        <f>INDEX('All Facts'!S:S,MATCH(Solver!$Z$1,'All Facts'!$B:$B,0),1)/INDEX('All Facts'!$F:$F,MATCH(Solver!$Z$1,'All Facts'!$B:$B,0),1)*$AB6</f>
        <v>6.2122413811678276</v>
      </c>
      <c r="AP6">
        <f>INDEX('All Facts'!T:T,MATCH(Solver!$Z$1,'All Facts'!$B:$B,0),1)/INDEX('All Facts'!$F:$F,MATCH(Solver!$Z$1,'All Facts'!$B:$B,0),1)*$AB6</f>
        <v>0</v>
      </c>
      <c r="AQ6">
        <f>INDEX('All Facts'!U:U,MATCH(Solver!$Z$1,'All Facts'!$B:$B,0),1)/INDEX('All Facts'!$F:$F,MATCH(Solver!$Z$1,'All Facts'!$B:$B,0),1)*$AB6</f>
        <v>0</v>
      </c>
      <c r="AR6">
        <f>INDEX('All Facts'!V:V,MATCH(Solver!$Z$1,'All Facts'!$B:$B,0),1)/INDEX('All Facts'!$F:$F,MATCH(Solver!$Z$1,'All Facts'!$B:$B,0),1)*$AB6</f>
        <v>0</v>
      </c>
      <c r="AS6">
        <f>INDEX('All Facts'!W:W,MATCH(Solver!$Z$1,'All Facts'!$B:$B,0),1)/INDEX('All Facts'!$F:$F,MATCH(Solver!$Z$1,'All Facts'!$B:$B,0),1)*$AB6</f>
        <v>0</v>
      </c>
      <c r="AT6">
        <f>INDEX('All Facts'!X:X,MATCH(Solver!$Z$1,'All Facts'!$B:$B,0),1)/INDEX('All Facts'!$F:$F,MATCH(Solver!$Z$1,'All Facts'!$B:$B,0),1)*$AB6</f>
        <v>0</v>
      </c>
      <c r="AU6">
        <f>INDEX('All Facts'!Y:Y,MATCH(Solver!$Z$1,'All Facts'!$B:$B,0),1)/INDEX('All Facts'!$F:$F,MATCH(Solver!$Z$1,'All Facts'!$B:$B,0),1)*$AB6</f>
        <v>0</v>
      </c>
      <c r="AV6">
        <f>INDEX('All Facts'!Z:Z,MATCH(Solver!$Z$1,'All Facts'!$B:$B,0),1)/INDEX('All Facts'!$F:$F,MATCH(Solver!$Z$1,'All Facts'!$B:$B,0),1)*$AB6</f>
        <v>0</v>
      </c>
      <c r="AW6" s="7">
        <f>ROUNDDOWN(6/28*Solver!AB6,0)</f>
        <v>1</v>
      </c>
    </row>
    <row r="7" spans="1:49" x14ac:dyDescent="0.25">
      <c r="AA7">
        <v>6</v>
      </c>
      <c r="AB7" s="6">
        <v>1.1985892261803906E-10</v>
      </c>
      <c r="AC7">
        <f>INDEX('All Facts'!G:G,MATCH(Solver!$Z$1,'All Facts'!$B:$B,0),1)/INDEX('All Facts'!$F:$F,MATCH(Solver!$Z$1,'All Facts'!$B:$B,0),1)*$AB7</f>
        <v>4.7087433885658198E-10</v>
      </c>
      <c r="AD7">
        <f>INDEX('All Facts'!H:H,MATCH(Solver!$Z$1,'All Facts'!$B:$B,0),1)/INDEX('All Facts'!$F:$F,MATCH(Solver!$Z$1,'All Facts'!$B:$B,0),1)*$AB7</f>
        <v>3.8526082270083984E-11</v>
      </c>
      <c r="AE7">
        <f>INDEX('All Facts'!I:I,MATCH(Solver!$Z$1,'All Facts'!$B:$B,0),1)/INDEX('All Facts'!$F:$F,MATCH(Solver!$Z$1,'All Facts'!$B:$B,0),1)*$AB7</f>
        <v>4.2806758077871093E-12</v>
      </c>
      <c r="AF7">
        <f>INDEX('All Facts'!J:J,MATCH(Solver!$Z$1,'All Facts'!$B:$B,0),1)/INDEX('All Facts'!$F:$F,MATCH(Solver!$Z$1,'All Facts'!$B:$B,0),1)*$AB7</f>
        <v>2.9964730654509764E-11</v>
      </c>
      <c r="AG7">
        <f>INDEX('All Facts'!K:K,MATCH(Solver!$Z$1,'All Facts'!$B:$B,0),1)/INDEX('All Facts'!$F:$F,MATCH(Solver!$Z$1,'All Facts'!$B:$B,0),1)*$AB7</f>
        <v>2.1403379038935547E-11</v>
      </c>
      <c r="AH7">
        <f>INDEX('All Facts'!L:L,MATCH(Solver!$Z$1,'All Facts'!$B:$B,0),1)/INDEX('All Facts'!$F:$F,MATCH(Solver!$Z$1,'All Facts'!$B:$B,0),1)*$AB7</f>
        <v>0</v>
      </c>
      <c r="AI7">
        <f>INDEX('All Facts'!M:M,MATCH(Solver!$Z$1,'All Facts'!$B:$B,0),1)/INDEX('All Facts'!$F:$F,MATCH(Solver!$Z$1,'All Facts'!$B:$B,0),1)*$AB7</f>
        <v>0</v>
      </c>
      <c r="AJ7">
        <f>INDEX('All Facts'!N:N,MATCH(Solver!$Z$1,'All Facts'!$B:$B,0),1)/INDEX('All Facts'!$F:$F,MATCH(Solver!$Z$1,'All Facts'!$B:$B,0),1)*$AB7</f>
        <v>1.2842027423361328E-10</v>
      </c>
      <c r="AK7">
        <f>INDEX('All Facts'!O:O,MATCH(Solver!$Z$1,'All Facts'!$B:$B,0),1)/INDEX('All Facts'!$F:$F,MATCH(Solver!$Z$1,'All Facts'!$B:$B,0),1)*$AB7</f>
        <v>7.2771488732380853E-10</v>
      </c>
      <c r="AL7">
        <f>INDEX('All Facts'!P:P,MATCH(Solver!$Z$1,'All Facts'!$B:$B,0),1)/INDEX('All Facts'!$F:$F,MATCH(Solver!$Z$1,'All Facts'!$B:$B,0),1)*$AB7</f>
        <v>8.561351615574219E-13</v>
      </c>
      <c r="AM7">
        <f>INDEX('All Facts'!Q:Q,MATCH(Solver!$Z$1,'All Facts'!$B:$B,0),1)/INDEX('All Facts'!$F:$F,MATCH(Solver!$Z$1,'All Facts'!$B:$B,0),1)*$AB7</f>
        <v>8.5613516155742191E-10</v>
      </c>
      <c r="AN7">
        <f>INDEX('All Facts'!R:R,MATCH(Solver!$Z$1,'All Facts'!$B:$B,0),1)/INDEX('All Facts'!$F:$F,MATCH(Solver!$Z$1,'All Facts'!$B:$B,0),1)*$AB7</f>
        <v>8.561351615574219E-13</v>
      </c>
      <c r="AO7">
        <f>INDEX('All Facts'!S:S,MATCH(Solver!$Z$1,'All Facts'!$B:$B,0),1)/INDEX('All Facts'!$F:$F,MATCH(Solver!$Z$1,'All Facts'!$B:$B,0),1)*$AB7</f>
        <v>1.2842027423361328E-10</v>
      </c>
      <c r="AP7">
        <f>INDEX('All Facts'!T:T,MATCH(Solver!$Z$1,'All Facts'!$B:$B,0),1)/INDEX('All Facts'!$F:$F,MATCH(Solver!$Z$1,'All Facts'!$B:$B,0),1)*$AB7</f>
        <v>0</v>
      </c>
      <c r="AQ7">
        <f>INDEX('All Facts'!U:U,MATCH(Solver!$Z$1,'All Facts'!$B:$B,0),1)/INDEX('All Facts'!$F:$F,MATCH(Solver!$Z$1,'All Facts'!$B:$B,0),1)*$AB7</f>
        <v>0</v>
      </c>
      <c r="AR7">
        <f>INDEX('All Facts'!V:V,MATCH(Solver!$Z$1,'All Facts'!$B:$B,0),1)/INDEX('All Facts'!$F:$F,MATCH(Solver!$Z$1,'All Facts'!$B:$B,0),1)*$AB7</f>
        <v>0</v>
      </c>
      <c r="AS7">
        <f>INDEX('All Facts'!W:W,MATCH(Solver!$Z$1,'All Facts'!$B:$B,0),1)/INDEX('All Facts'!$F:$F,MATCH(Solver!$Z$1,'All Facts'!$B:$B,0),1)*$AB7</f>
        <v>0</v>
      </c>
      <c r="AT7">
        <f>INDEX('All Facts'!X:X,MATCH(Solver!$Z$1,'All Facts'!$B:$B,0),1)/INDEX('All Facts'!$F:$F,MATCH(Solver!$Z$1,'All Facts'!$B:$B,0),1)*$AB7</f>
        <v>0</v>
      </c>
      <c r="AU7">
        <f>INDEX('All Facts'!Y:Y,MATCH(Solver!$Z$1,'All Facts'!$B:$B,0),1)/INDEX('All Facts'!$F:$F,MATCH(Solver!$Z$1,'All Facts'!$B:$B,0),1)*$AB7</f>
        <v>0</v>
      </c>
      <c r="AV7">
        <f>INDEX('All Facts'!Z:Z,MATCH(Solver!$Z$1,'All Facts'!$B:$B,0),1)/INDEX('All Facts'!$F:$F,MATCH(Solver!$Z$1,'All Facts'!$B:$B,0),1)*$AB7</f>
        <v>0</v>
      </c>
      <c r="AW7" s="7">
        <f>ROUNDDOWN(6/28*Solver!AB7,0)</f>
        <v>0</v>
      </c>
    </row>
    <row r="8" spans="1:49" ht="45" x14ac:dyDescent="0.25">
      <c r="A8" t="s">
        <v>47</v>
      </c>
      <c r="B8" s="4" t="s">
        <v>1</v>
      </c>
      <c r="C8" t="s">
        <v>44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  <c r="O8" s="4" t="s">
        <v>19</v>
      </c>
      <c r="P8" s="4" t="s">
        <v>20</v>
      </c>
      <c r="Q8" s="4" t="s">
        <v>26</v>
      </c>
      <c r="R8" s="4" t="s">
        <v>27</v>
      </c>
      <c r="S8" s="4" t="s">
        <v>28</v>
      </c>
      <c r="T8" s="4" t="s">
        <v>29</v>
      </c>
      <c r="U8" s="4" t="s">
        <v>39</v>
      </c>
      <c r="V8" s="4" t="s">
        <v>40</v>
      </c>
      <c r="W8" s="4" t="s">
        <v>41</v>
      </c>
      <c r="X8" s="4" t="s">
        <v>74</v>
      </c>
      <c r="Y8" s="4" t="s">
        <v>53</v>
      </c>
      <c r="AA8">
        <v>7</v>
      </c>
      <c r="AB8" s="6">
        <v>1.5175516665597342E-10</v>
      </c>
      <c r="AC8">
        <f>INDEX('All Facts'!G:G,MATCH(Solver!$Z$1,'All Facts'!$B:$B,0),1)/INDEX('All Facts'!$F:$F,MATCH(Solver!$Z$1,'All Facts'!$B:$B,0),1)*$AB8</f>
        <v>5.9618101186275269E-10</v>
      </c>
      <c r="AD8">
        <f>INDEX('All Facts'!H:H,MATCH(Solver!$Z$1,'All Facts'!$B:$B,0),1)/INDEX('All Facts'!$F:$F,MATCH(Solver!$Z$1,'All Facts'!$B:$B,0),1)*$AB8</f>
        <v>4.8778446425134316E-11</v>
      </c>
      <c r="AE8">
        <f>INDEX('All Facts'!I:I,MATCH(Solver!$Z$1,'All Facts'!$B:$B,0),1)/INDEX('All Facts'!$F:$F,MATCH(Solver!$Z$1,'All Facts'!$B:$B,0),1)*$AB8</f>
        <v>5.4198273805704786E-12</v>
      </c>
      <c r="AF8">
        <f>INDEX('All Facts'!J:J,MATCH(Solver!$Z$1,'All Facts'!$B:$B,0),1)/INDEX('All Facts'!$F:$F,MATCH(Solver!$Z$1,'All Facts'!$B:$B,0),1)*$AB8</f>
        <v>3.7938791663993355E-11</v>
      </c>
      <c r="AG8">
        <f>INDEX('All Facts'!K:K,MATCH(Solver!$Z$1,'All Facts'!$B:$B,0),1)/INDEX('All Facts'!$F:$F,MATCH(Solver!$Z$1,'All Facts'!$B:$B,0),1)*$AB8</f>
        <v>2.7099136902852398E-11</v>
      </c>
      <c r="AH8">
        <f>INDEX('All Facts'!L:L,MATCH(Solver!$Z$1,'All Facts'!$B:$B,0),1)/INDEX('All Facts'!$F:$F,MATCH(Solver!$Z$1,'All Facts'!$B:$B,0),1)*$AB8</f>
        <v>0</v>
      </c>
      <c r="AI8">
        <f>INDEX('All Facts'!M:M,MATCH(Solver!$Z$1,'All Facts'!$B:$B,0),1)/INDEX('All Facts'!$F:$F,MATCH(Solver!$Z$1,'All Facts'!$B:$B,0),1)*$AB8</f>
        <v>0</v>
      </c>
      <c r="AJ8">
        <f>INDEX('All Facts'!N:N,MATCH(Solver!$Z$1,'All Facts'!$B:$B,0),1)/INDEX('All Facts'!$F:$F,MATCH(Solver!$Z$1,'All Facts'!$B:$B,0),1)*$AB8</f>
        <v>1.6259482141711437E-10</v>
      </c>
      <c r="AK8">
        <f>INDEX('All Facts'!O:O,MATCH(Solver!$Z$1,'All Facts'!$B:$B,0),1)/INDEX('All Facts'!$F:$F,MATCH(Solver!$Z$1,'All Facts'!$B:$B,0),1)*$AB8</f>
        <v>9.2137065469698142E-10</v>
      </c>
      <c r="AL8">
        <f>INDEX('All Facts'!P:P,MATCH(Solver!$Z$1,'All Facts'!$B:$B,0),1)/INDEX('All Facts'!$F:$F,MATCH(Solver!$Z$1,'All Facts'!$B:$B,0),1)*$AB8</f>
        <v>1.0839654761140961E-12</v>
      </c>
      <c r="AM8">
        <f>INDEX('All Facts'!Q:Q,MATCH(Solver!$Z$1,'All Facts'!$B:$B,0),1)/INDEX('All Facts'!$F:$F,MATCH(Solver!$Z$1,'All Facts'!$B:$B,0),1)*$AB8</f>
        <v>1.083965476114096E-9</v>
      </c>
      <c r="AN8">
        <f>INDEX('All Facts'!R:R,MATCH(Solver!$Z$1,'All Facts'!$B:$B,0),1)/INDEX('All Facts'!$F:$F,MATCH(Solver!$Z$1,'All Facts'!$B:$B,0),1)*$AB8</f>
        <v>1.0839654761140961E-12</v>
      </c>
      <c r="AO8">
        <f>INDEX('All Facts'!S:S,MATCH(Solver!$Z$1,'All Facts'!$B:$B,0),1)/INDEX('All Facts'!$F:$F,MATCH(Solver!$Z$1,'All Facts'!$B:$B,0),1)*$AB8</f>
        <v>1.6259482141711437E-10</v>
      </c>
      <c r="AP8">
        <f>INDEX('All Facts'!T:T,MATCH(Solver!$Z$1,'All Facts'!$B:$B,0),1)/INDEX('All Facts'!$F:$F,MATCH(Solver!$Z$1,'All Facts'!$B:$B,0),1)*$AB8</f>
        <v>0</v>
      </c>
      <c r="AQ8">
        <f>INDEX('All Facts'!U:U,MATCH(Solver!$Z$1,'All Facts'!$B:$B,0),1)/INDEX('All Facts'!$F:$F,MATCH(Solver!$Z$1,'All Facts'!$B:$B,0),1)*$AB8</f>
        <v>0</v>
      </c>
      <c r="AR8">
        <f>INDEX('All Facts'!V:V,MATCH(Solver!$Z$1,'All Facts'!$B:$B,0),1)/INDEX('All Facts'!$F:$F,MATCH(Solver!$Z$1,'All Facts'!$B:$B,0),1)*$AB8</f>
        <v>0</v>
      </c>
      <c r="AS8">
        <f>INDEX('All Facts'!W:W,MATCH(Solver!$Z$1,'All Facts'!$B:$B,0),1)/INDEX('All Facts'!$F:$F,MATCH(Solver!$Z$1,'All Facts'!$B:$B,0),1)*$AB8</f>
        <v>0</v>
      </c>
      <c r="AT8">
        <f>INDEX('All Facts'!X:X,MATCH(Solver!$Z$1,'All Facts'!$B:$B,0),1)/INDEX('All Facts'!$F:$F,MATCH(Solver!$Z$1,'All Facts'!$B:$B,0),1)*$AB8</f>
        <v>0</v>
      </c>
      <c r="AU8">
        <f>INDEX('All Facts'!Y:Y,MATCH(Solver!$Z$1,'All Facts'!$B:$B,0),1)/INDEX('All Facts'!$F:$F,MATCH(Solver!$Z$1,'All Facts'!$B:$B,0),1)*$AB8</f>
        <v>0</v>
      </c>
      <c r="AV8">
        <f>INDEX('All Facts'!Z:Z,MATCH(Solver!$Z$1,'All Facts'!$B:$B,0),1)/INDEX('All Facts'!$F:$F,MATCH(Solver!$Z$1,'All Facts'!$B:$B,0),1)*$AB8</f>
        <v>0</v>
      </c>
      <c r="AW8" s="7">
        <f>ROUNDDOWN(6/28*Solver!AB8,0)</f>
        <v>0</v>
      </c>
    </row>
    <row r="9" spans="1:49" s="3" customFormat="1" x14ac:dyDescent="0.25">
      <c r="A9" s="3">
        <v>1</v>
      </c>
      <c r="B9" s="4" t="s">
        <v>54</v>
      </c>
      <c r="C9" s="5">
        <v>1125.0000000208911</v>
      </c>
      <c r="D9" s="10">
        <f>IFERROR(Recipie!D11+D$5+AC$2,0)</f>
        <v>1599.9999990173146</v>
      </c>
      <c r="E9" s="10">
        <f>IFERROR(Recipie!E11+E$5+AD$2,0)</f>
        <v>50.988672414350347</v>
      </c>
      <c r="F9" s="10">
        <f>IFERROR(Recipie!F11+F$5+AE$2,0)</f>
        <v>90.418720182646169</v>
      </c>
      <c r="G9" s="10">
        <f>IFERROR(Recipie!G11+G$5+AF$2,0)</f>
        <v>189.6150635322652</v>
      </c>
      <c r="H9" s="10">
        <f>IFERROR(Recipie!H11+H$5+AG$2,0)</f>
        <v>12.722873563527971</v>
      </c>
      <c r="I9" s="10">
        <f>IFERROR(Recipie!I11+I$5+AH$2,0)</f>
        <v>0</v>
      </c>
      <c r="J9" s="10">
        <f>IFERROR(Recipie!J11+J$5+AI$2,0)</f>
        <v>0</v>
      </c>
      <c r="K9" s="10">
        <f>IFERROR(Recipie!K11+K$5+AJ$2,0)</f>
        <v>2164.4475355283084</v>
      </c>
      <c r="L9" s="10">
        <f>IFERROR(Recipie!L11+L$5+AK$2,0)</f>
        <v>6000.5703483170855</v>
      </c>
      <c r="M9" s="10">
        <f>IFERROR(Recipie!M11+M$5+AL$2,0)</f>
        <v>3.041414942541119</v>
      </c>
      <c r="N9" s="10">
        <f>IFERROR(Recipie!N11+N$5+AM$2,0)</f>
        <v>207.93521281138911</v>
      </c>
      <c r="O9" s="10">
        <f>IFERROR(Recipie!O11+O$5+AN$2,0)</f>
        <v>8.9589268662827646</v>
      </c>
      <c r="P9" s="10">
        <f>IFERROR(Recipie!P11+P$5+AO$2,0)</f>
        <v>1094.5170903490105</v>
      </c>
      <c r="Q9" s="10">
        <f>IFERROR(Recipie!Q11+Q$5+AP$2,0)</f>
        <v>5.7770270270270272</v>
      </c>
      <c r="R9" s="10">
        <f>IFERROR(Recipie!R11+R$5+AQ$2,0)</f>
        <v>8.513513513513514</v>
      </c>
      <c r="S9" s="10">
        <f>IFERROR(Recipie!S11+S$5+AR$2,0)</f>
        <v>26.351351351351354</v>
      </c>
      <c r="T9" s="10">
        <f>IFERROR(Recipie!T11+T$5+AS$2,0)</f>
        <v>0.20270270270270271</v>
      </c>
      <c r="U9" s="10">
        <f>IFERROR(Recipie!U11+U$5+AT$2,0)</f>
        <v>110.29411764910698</v>
      </c>
      <c r="V9" s="10">
        <f>IFERROR(Recipie!V11+V$5+AU$2,0)</f>
        <v>3.0882352941749951</v>
      </c>
      <c r="W9" s="10">
        <f>IFERROR(Recipie!W11+W$5+AV$2,0)</f>
        <v>0.48529411765607072</v>
      </c>
      <c r="X9" s="3">
        <v>1155.570768008022</v>
      </c>
      <c r="Y9" s="8">
        <f>C9*0.00220462262184877</f>
        <v>2.4802004496259231</v>
      </c>
    </row>
    <row r="10" spans="1:49" s="3" customFormat="1" x14ac:dyDescent="0.25">
      <c r="A10" s="3">
        <v>2</v>
      </c>
      <c r="B10" s="3" t="s">
        <v>34</v>
      </c>
      <c r="C10" s="5">
        <v>794.39412922821691</v>
      </c>
      <c r="D10" s="10">
        <f>IFERROR((INDEX('All Facts'!G:G,MATCH(Solver!$B10,'All Facts'!$B:$B,0),1)/INDEX('All Facts'!$F:$F,MATCH(Solver!$B10,'All Facts'!$B:$B,0),1)*$C10)+D$5+AC3,0)</f>
        <v>1599.9999999999998</v>
      </c>
      <c r="E10" s="10">
        <f>IFERROR((INDEX('All Facts'!H:H,MATCH(Solver!$B10,'All Facts'!$B:$B,0),1)/INDEX('All Facts'!$F:$F,MATCH(Solver!$B10,'All Facts'!$B:$B,0),1)*$C10)+E$5+AD3,0)</f>
        <v>83.77463307680209</v>
      </c>
      <c r="F10" s="10">
        <f>IFERROR((INDEX('All Facts'!I:I,MATCH(Solver!$B10,'All Facts'!$B:$B,0),1)/INDEX('All Facts'!$F:$F,MATCH(Solver!$B10,'All Facts'!$B:$B,0),1)*$C10)+F$5+AE3,0)</f>
        <v>39.476351351355632</v>
      </c>
      <c r="G10" s="10">
        <f>IFERROR((INDEX('All Facts'!J:J,MATCH(Solver!$B10,'All Facts'!$B:$B,0),1)/INDEX('All Facts'!$F:$F,MATCH(Solver!$B10,'All Facts'!$B:$B,0),1)*$C10)+G$5+AF3,0)</f>
        <v>176.20724449611311</v>
      </c>
      <c r="H10" s="10">
        <f>IFERROR((INDEX('All Facts'!K:K,MATCH(Solver!$B10,'All Facts'!$B:$B,0),1)/INDEX('All Facts'!$F:$F,MATCH(Solver!$B10,'All Facts'!$B:$B,0),1)*$C10)+H$5+AG3,0)</f>
        <v>7.1875000000214033</v>
      </c>
      <c r="I10" s="10">
        <f>IFERROR((INDEX('All Facts'!L:L,MATCH(Solver!$B10,'All Facts'!$B:$B,0),1)/INDEX('All Facts'!$F:$F,MATCH(Solver!$B10,'All Facts'!$B:$B,0),1)*$C10)+I$5+AH3,0)</f>
        <v>0</v>
      </c>
      <c r="J10" s="10">
        <f>IFERROR((INDEX('All Facts'!M:M,MATCH(Solver!$B10,'All Facts'!$B:$B,0),1)/INDEX('All Facts'!$F:$F,MATCH(Solver!$B10,'All Facts'!$B:$B,0),1)*$C10)+J$5+AI3,0)</f>
        <v>0</v>
      </c>
      <c r="K10" s="10">
        <f>IFERROR((INDEX('All Facts'!N:N,MATCH(Solver!$B10,'All Facts'!$B:$B,0),1)/INDEX('All Facts'!$F:$F,MATCH(Solver!$B10,'All Facts'!$B:$B,0),1)*$C10)+K$5+AJ3,0)</f>
        <v>15.00000000012842</v>
      </c>
      <c r="L10" s="10">
        <f>IFERROR((INDEX('All Facts'!O:O,MATCH(Solver!$B10,'All Facts'!$B:$B,0),1)/INDEX('All Facts'!$F:$F,MATCH(Solver!$B10,'All Facts'!$B:$B,0),1)*$C10)+L$5+AK3,0)</f>
        <v>461.25000000072771</v>
      </c>
      <c r="M10" s="10">
        <f>IFERROR((INDEX('All Facts'!P:P,MATCH(Solver!$B10,'All Facts'!$B:$B,0),1)/INDEX('All Facts'!$F:$F,MATCH(Solver!$B10,'All Facts'!$B:$B,0),1)*$C10)+M$5+AL3,0)</f>
        <v>8.561351615574219E-13</v>
      </c>
      <c r="N10" s="10">
        <f>IFERROR((INDEX('All Facts'!Q:Q,MATCH(Solver!$B10,'All Facts'!$B:$B,0),1)/INDEX('All Facts'!$F:$F,MATCH(Solver!$B10,'All Facts'!$B:$B,0),1)*$C10)+N$5+AM3,0)</f>
        <v>76.520270271126407</v>
      </c>
      <c r="O10" s="10">
        <f>IFERROR((INDEX('All Facts'!R:R,MATCH(Solver!$B10,'All Facts'!$B:$B,0),1)/INDEX('All Facts'!$F:$F,MATCH(Solver!$B10,'All Facts'!$B:$B,0),1)*$C10)+O$5+AN3,0)</f>
        <v>13.56350366922851</v>
      </c>
      <c r="P10" s="10">
        <f>IFERROR((INDEX('All Facts'!S:S,MATCH(Solver!$B10,'All Facts'!$B:$B,0),1)/INDEX('All Facts'!$F:$F,MATCH(Solver!$B10,'All Facts'!$B:$B,0),1)*$C10)+P$5+AO3,0)</f>
        <v>1022.1283783785069</v>
      </c>
      <c r="Q10" s="10">
        <f>IFERROR((INDEX('All Facts'!T:T,MATCH(Solver!$B10,'All Facts'!$B:$B,0),1)/INDEX('All Facts'!$F:$F,MATCH(Solver!$B10,'All Facts'!$B:$B,0),1)*$C10)+Q$5+AP3,0)</f>
        <v>5.7770270270270272</v>
      </c>
      <c r="R10" s="10">
        <f>IFERROR((INDEX('All Facts'!U:U,MATCH(Solver!$B10,'All Facts'!$B:$B,0),1)/INDEX('All Facts'!$F:$F,MATCH(Solver!$B10,'All Facts'!$B:$B,0),1)*$C10)+R$5+AQ3,0)</f>
        <v>8.513513513513514</v>
      </c>
      <c r="S10" s="10">
        <f>IFERROR((INDEX('All Facts'!V:V,MATCH(Solver!$B10,'All Facts'!$B:$B,0),1)/INDEX('All Facts'!$F:$F,MATCH(Solver!$B10,'All Facts'!$B:$B,0),1)*$C10)+S$5+AR3,0)</f>
        <v>26.351351351351354</v>
      </c>
      <c r="T10" s="10">
        <f>IFERROR((INDEX('All Facts'!W:W,MATCH(Solver!$B10,'All Facts'!$B:$B,0),1)/INDEX('All Facts'!$F:$F,MATCH(Solver!$B10,'All Facts'!$B:$B,0),1)*$C10)+T$5+AS3,0)</f>
        <v>0.20270270270270271</v>
      </c>
      <c r="U10" s="10">
        <f>IFERROR((INDEX('All Facts'!X:X,MATCH(Solver!$B10,'All Facts'!$B:$B,0),1)/INDEX('All Facts'!$F:$F,MATCH(Solver!$B10,'All Facts'!$B:$B,0),1)*$C10)+U$5+AT3,0)</f>
        <v>0</v>
      </c>
      <c r="V10" s="10">
        <f>IFERROR((INDEX('All Facts'!Y:Y,MATCH(Solver!$B10,'All Facts'!$B:$B,0),1)/INDEX('All Facts'!$F:$F,MATCH(Solver!$B10,'All Facts'!$B:$B,0),1)*$C10)+V$5+AU3,0)</f>
        <v>0</v>
      </c>
      <c r="W10" s="10">
        <f>IFERROR((INDEX('All Facts'!Z:Z,MATCH(Solver!$B10,'All Facts'!$B:$B,0),1)/INDEX('All Facts'!$F:$F,MATCH(Solver!$B10,'All Facts'!$B:$B,0),1)*$C10)+W$5+AV3,0)</f>
        <v>0</v>
      </c>
      <c r="X10" s="3">
        <v>794.39461873326036</v>
      </c>
      <c r="Y10" s="8">
        <f>C10*0.00220462262184877</f>
        <v>1.7513392679603821</v>
      </c>
    </row>
    <row r="11" spans="1:49" s="3" customFormat="1" ht="45" x14ac:dyDescent="0.25">
      <c r="A11" s="3">
        <v>3</v>
      </c>
      <c r="B11" s="4" t="s">
        <v>57</v>
      </c>
      <c r="C11" s="5">
        <v>465.47895010388817</v>
      </c>
      <c r="D11" s="10">
        <f>IFERROR((INDEX('All Facts'!G:G,MATCH(Solver!$B11,'All Facts'!$B:$B,0),1)/INDEX('All Facts'!$F:$F,MATCH(Solver!$B11,'All Facts'!$B:$B,0),1)*$C11)+D$5+AC4,0)</f>
        <v>1600</v>
      </c>
      <c r="E11" s="10">
        <f>IFERROR((INDEX('All Facts'!H:H,MATCH(Solver!$B11,'All Facts'!$B:$B,0),1)/INDEX('All Facts'!$F:$F,MATCH(Solver!$B11,'All Facts'!$B:$B,0),1)*$C11)+E$5+AD4,0)</f>
        <v>112.39137214137338</v>
      </c>
      <c r="F11" s="10">
        <f>IFERROR((INDEX('All Facts'!I:I,MATCH(Solver!$B11,'All Facts'!$B:$B,0),1)/INDEX('All Facts'!$F:$F,MATCH(Solver!$B11,'All Facts'!$B:$B,0),1)*$C11)+F$5+AE4,0)</f>
        <v>39.476351351352648</v>
      </c>
      <c r="G11" s="10">
        <f>IFERROR((INDEX('All Facts'!J:J,MATCH(Solver!$B11,'All Facts'!$B:$B,0),1)/INDEX('All Facts'!$F:$F,MATCH(Solver!$B11,'All Facts'!$B:$B,0),1)*$C11)+G$5+AF4,0)</f>
        <v>114.90904365904012</v>
      </c>
      <c r="H11" s="10">
        <f>IFERROR((INDEX('All Facts'!K:K,MATCH(Solver!$B11,'All Facts'!$B:$B,0),1)/INDEX('All Facts'!$F:$F,MATCH(Solver!$B11,'All Facts'!$B:$B,0),1)*$C11)+H$5+AG4,0)</f>
        <v>17.485706860711968</v>
      </c>
      <c r="I11" s="10">
        <f>IFERROR((INDEX('All Facts'!L:L,MATCH(Solver!$B11,'All Facts'!$B:$B,0),1)/INDEX('All Facts'!$F:$F,MATCH(Solver!$B11,'All Facts'!$B:$B,0),1)*$C11)+I$5+AH4,0)</f>
        <v>0</v>
      </c>
      <c r="J11" s="10">
        <f>IFERROR((INDEX('All Facts'!M:M,MATCH(Solver!$B11,'All Facts'!$B:$B,0),1)/INDEX('All Facts'!$F:$F,MATCH(Solver!$B11,'All Facts'!$B:$B,0),1)*$C11)+J$5+AI4,0)</f>
        <v>0</v>
      </c>
      <c r="K11" s="10">
        <f>IFERROR((INDEX('All Facts'!N:N,MATCH(Solver!$B11,'All Facts'!$B:$B,0),1)/INDEX('All Facts'!$F:$F,MATCH(Solver!$B11,'All Facts'!$B:$B,0),1)*$C11)+K$5+AJ4,0)</f>
        <v>282.75337837838157</v>
      </c>
      <c r="L11" s="10">
        <f>IFERROR((INDEX('All Facts'!O:O,MATCH(Solver!$B11,'All Facts'!$B:$B,0),1)/INDEX('All Facts'!$F:$F,MATCH(Solver!$B11,'All Facts'!$B:$B,0),1)*$C11)+L$5+AK4,0)</f>
        <v>605.424896050097</v>
      </c>
      <c r="M11" s="10">
        <f>IFERROR((INDEX('All Facts'!P:P,MATCH(Solver!$B11,'All Facts'!$B:$B,0),1)/INDEX('All Facts'!$F:$F,MATCH(Solver!$B11,'All Facts'!$B:$B,0),1)*$C11)+M$5+AL4,0)</f>
        <v>32.954261954257824</v>
      </c>
      <c r="N11" s="10">
        <f>IFERROR((INDEX('All Facts'!Q:Q,MATCH(Solver!$B11,'All Facts'!$B:$B,0),1)/INDEX('All Facts'!$F:$F,MATCH(Solver!$B11,'All Facts'!$B:$B,0),1)*$C11)+N$5+AM4,0)</f>
        <v>290.72297297320347</v>
      </c>
      <c r="O11" s="10">
        <f>IFERROR((INDEX('All Facts'!R:R,MATCH(Solver!$B11,'All Facts'!$B:$B,0),1)/INDEX('All Facts'!$F:$F,MATCH(Solver!$B11,'All Facts'!$B:$B,0),1)*$C11)+O$5+AN4,0)</f>
        <v>3.3498648648651237</v>
      </c>
      <c r="P11" s="10">
        <f>IFERROR((INDEX('All Facts'!S:S,MATCH(Solver!$B11,'All Facts'!$B:$B,0),1)/INDEX('All Facts'!$F:$F,MATCH(Solver!$B11,'All Facts'!$B:$B,0),1)*$C11)+P$5+AO4,0)</f>
        <v>2570.9786902285227</v>
      </c>
      <c r="Q11" s="10">
        <f>IFERROR((INDEX('All Facts'!T:T,MATCH(Solver!$B11,'All Facts'!$B:$B,0),1)/INDEX('All Facts'!$F:$F,MATCH(Solver!$B11,'All Facts'!$B:$B,0),1)*$C11)+Q$5+AP4,0)</f>
        <v>5.7770270270270272</v>
      </c>
      <c r="R11" s="10">
        <f>IFERROR((INDEX('All Facts'!U:U,MATCH(Solver!$B11,'All Facts'!$B:$B,0),1)/INDEX('All Facts'!$F:$F,MATCH(Solver!$B11,'All Facts'!$B:$B,0),1)*$C11)+R$5+AQ4,0)</f>
        <v>8.513513513513514</v>
      </c>
      <c r="S11" s="10">
        <f>IFERROR((INDEX('All Facts'!V:V,MATCH(Solver!$B11,'All Facts'!$B:$B,0),1)/INDEX('All Facts'!$F:$F,MATCH(Solver!$B11,'All Facts'!$B:$B,0),1)*$C11)+S$5+AR4,0)</f>
        <v>26.351351351351354</v>
      </c>
      <c r="T11" s="10">
        <f>IFERROR((INDEX('All Facts'!W:W,MATCH(Solver!$B11,'All Facts'!$B:$B,0),1)/INDEX('All Facts'!$F:$F,MATCH(Solver!$B11,'All Facts'!$B:$B,0),1)*$C11)+T$5+AS4,0)</f>
        <v>0.20270270270270271</v>
      </c>
      <c r="U11" s="10">
        <f>IFERROR((INDEX('All Facts'!X:X,MATCH(Solver!$B11,'All Facts'!$B:$B,0),1)/INDEX('All Facts'!$F:$F,MATCH(Solver!$B11,'All Facts'!$B:$B,0),1)*$C11)+U$5+AT4,0)</f>
        <v>0</v>
      </c>
      <c r="V11" s="10">
        <f>IFERROR((INDEX('All Facts'!Y:Y,MATCH(Solver!$B11,'All Facts'!$B:$B,0),1)/INDEX('All Facts'!$F:$F,MATCH(Solver!$B11,'All Facts'!$B:$B,0),1)*$C11)+V$5+AU4,0)</f>
        <v>0</v>
      </c>
      <c r="W11" s="10">
        <f>IFERROR((INDEX('All Facts'!Z:Z,MATCH(Solver!$B11,'All Facts'!$B:$B,0),1)/INDEX('All Facts'!$F:$F,MATCH(Solver!$B11,'All Facts'!$B:$B,0),1)*$C11)+W$5+AV4,0)</f>
        <v>0</v>
      </c>
      <c r="X11" s="3">
        <v>465.47895010395928</v>
      </c>
      <c r="Y11" s="8">
        <f>C11*0.00220462262184877</f>
        <v>1.0262054233934466</v>
      </c>
    </row>
    <row r="12" spans="1:49" s="3" customFormat="1" ht="30" x14ac:dyDescent="0.25">
      <c r="A12" s="3">
        <v>4</v>
      </c>
      <c r="B12" s="4" t="s">
        <v>42</v>
      </c>
      <c r="C12" s="5">
        <v>677.1007371003036</v>
      </c>
      <c r="D12" s="9">
        <f>IFERROR(Recipie!D5+D$5+AC$5,0)</f>
        <v>1600</v>
      </c>
      <c r="E12" s="9">
        <f>IFERROR(Recipie!E5+E$5+AD$5,0)</f>
        <v>50.170542295587204</v>
      </c>
      <c r="F12" s="9">
        <f>IFERROR(Recipie!F5+F$5+AE$5,0)</f>
        <v>95.09534047031029</v>
      </c>
      <c r="G12" s="9">
        <f>IFERROR(Recipie!G5+G$5+AF$5,0)</f>
        <v>188.14053176546986</v>
      </c>
      <c r="H12" s="9">
        <f>IFERROR(Recipie!H5+H$5+AG$5,0)</f>
        <v>10.187500000027098</v>
      </c>
      <c r="I12" s="9">
        <f>IFERROR(Recipie!I5+I$5+AH$5,0)</f>
        <v>0</v>
      </c>
      <c r="J12" s="9">
        <f>IFERROR(Recipie!J5+J$5+AI$5,0)</f>
        <v>0</v>
      </c>
      <c r="K12" s="9">
        <f>IFERROR(Recipie!K5+K$5+AJ$5,0)</f>
        <v>868.64338364323658</v>
      </c>
      <c r="L12" s="9">
        <f>IFERROR(Recipie!L5+L$5+AK$5,0)</f>
        <v>1054.6656721663032</v>
      </c>
      <c r="M12" s="9">
        <f>IFERROR(Recipie!M5+M$5+AL$5,0)</f>
        <v>2.000000000001084</v>
      </c>
      <c r="N12" s="9">
        <f>IFERROR(Recipie!N5+N$5+AM$5,0)</f>
        <v>136.52027027135424</v>
      </c>
      <c r="O12" s="9">
        <f>IFERROR(Recipie!O5+O$5+AN$5,0)</f>
        <v>10.469942084939762</v>
      </c>
      <c r="P12" s="9">
        <f>IFERROR(Recipie!P5+P$5+AO$5,0)</f>
        <v>1094.6748859250022</v>
      </c>
      <c r="Q12" s="9">
        <f>IFERROR(Recipie!Q5+Q$5+AP$5,0)</f>
        <v>5.7770270270270272</v>
      </c>
      <c r="R12" s="9">
        <f>IFERROR(Recipie!R5+R$5+AQ$5,0)</f>
        <v>8.513513513513514</v>
      </c>
      <c r="S12" s="9">
        <f>IFERROR(Recipie!S5+S$5+AR$5,0)</f>
        <v>26.351351351351354</v>
      </c>
      <c r="T12" s="9">
        <f>IFERROR(Recipie!T5+T$5+AS$5,0)</f>
        <v>0.20270270270270271</v>
      </c>
      <c r="U12" s="9">
        <f>IFERROR(Recipie!U5+U$5+AT$5,0)</f>
        <v>120.9108459107685</v>
      </c>
      <c r="V12" s="9">
        <f>IFERROR(Recipie!V5+V$5+AU$5,0)</f>
        <v>3.3855036855015177</v>
      </c>
      <c r="W12" s="9">
        <f>IFERROR(Recipie!W5+W$5+AV$5,0)</f>
        <v>0.53200772200738145</v>
      </c>
      <c r="X12" s="3">
        <v>677.10073715945987</v>
      </c>
      <c r="Y12" s="8">
        <f>C12*0.00220462262184877</f>
        <v>1.4927516022818059</v>
      </c>
    </row>
    <row r="13" spans="1:49" s="3" customFormat="1" x14ac:dyDescent="0.25">
      <c r="A13" s="3">
        <v>5</v>
      </c>
      <c r="B13" s="4" t="s">
        <v>58</v>
      </c>
      <c r="C13" s="5">
        <v>1125.0000000208911</v>
      </c>
      <c r="D13" s="10">
        <f>IFERROR(Recipie!D17+D$5+AC$6,0)</f>
        <v>1599.9999990173146</v>
      </c>
      <c r="E13" s="10">
        <f>IFERROR(Recipie!E17+E$5+AD$6,0)</f>
        <v>50.988672414350347</v>
      </c>
      <c r="F13" s="10">
        <f>IFERROR(Recipie!F17+F$5+AE$6,0)</f>
        <v>90.418720182646169</v>
      </c>
      <c r="G13" s="10">
        <f>IFERROR(Recipie!G17+G$5+AF$6,0)</f>
        <v>189.6150635322652</v>
      </c>
      <c r="H13" s="10">
        <f>IFERROR(Recipie!H17+H$5+AG$6,0)</f>
        <v>12.722873563527971</v>
      </c>
      <c r="I13" s="10">
        <f>IFERROR(Recipie!I17+I$5+AH$6,0)</f>
        <v>0</v>
      </c>
      <c r="J13" s="10">
        <f>IFERROR(Recipie!J17+J$5+AI$6,0)</f>
        <v>0</v>
      </c>
      <c r="K13" s="10">
        <f>IFERROR(Recipie!K17+K$5+AJ$6,0)</f>
        <v>2164.4475355283084</v>
      </c>
      <c r="L13" s="10">
        <f>IFERROR(Recipie!L17+L$5+AK$6,0)</f>
        <v>6000.5703483170855</v>
      </c>
      <c r="M13" s="10">
        <f>IFERROR(Recipie!M17+M$5+AL$6,0)</f>
        <v>3.041414942541119</v>
      </c>
      <c r="N13" s="10">
        <f>IFERROR(Recipie!N17+N$5+AM$6,0)</f>
        <v>207.93521281138911</v>
      </c>
      <c r="O13" s="10">
        <f>IFERROR(Recipie!O17+O$5+AN$6,0)</f>
        <v>8.9589268662827646</v>
      </c>
      <c r="P13" s="10">
        <f>IFERROR(Recipie!P17+P$5+AO$6,0)</f>
        <v>1094.5170903490105</v>
      </c>
      <c r="Q13" s="10">
        <f>IFERROR(Recipie!Q17+Q$5+AP$6,0)</f>
        <v>5.7770270270270272</v>
      </c>
      <c r="R13" s="10">
        <f>IFERROR(Recipie!R17+R$5+AQ$6,0)</f>
        <v>8.513513513513514</v>
      </c>
      <c r="S13" s="10">
        <f>IFERROR(Recipie!S17+S$5+AR$6,0)</f>
        <v>26.351351351351354</v>
      </c>
      <c r="T13" s="10">
        <f>IFERROR(Recipie!T17+T$5+AS$6,0)</f>
        <v>0.20270270270270271</v>
      </c>
      <c r="U13" s="10">
        <f>IFERROR(Recipie!U17+U$5+AT$6,0)</f>
        <v>110.29411764910698</v>
      </c>
      <c r="V13" s="10">
        <f>IFERROR(Recipie!V17+V$5+AU$6,0)</f>
        <v>3.0882352941749951</v>
      </c>
      <c r="W13" s="10">
        <f>IFERROR(Recipie!W17+W$5+AV$6,0)</f>
        <v>0.48529411765607072</v>
      </c>
      <c r="X13" s="3">
        <v>1155.570768008022</v>
      </c>
      <c r="Y13" s="8">
        <f>C13*0.00220462262184877</f>
        <v>2.4802004496259231</v>
      </c>
    </row>
    <row r="14" spans="1:49" x14ac:dyDescent="0.25">
      <c r="A14" s="3">
        <v>6</v>
      </c>
      <c r="B14" s="3" t="s">
        <v>34</v>
      </c>
      <c r="C14" s="5">
        <v>794.39412922821691</v>
      </c>
      <c r="D14" s="10">
        <f>IFERROR((INDEX('All Facts'!G:G,MATCH(Solver!$B14,'All Facts'!$B:$B,0),1)/INDEX('All Facts'!$F:$F,MATCH(Solver!$B14,'All Facts'!$B:$B,0),1)*$C14)+D$5+AC7,0)</f>
        <v>1599.9999999999998</v>
      </c>
      <c r="E14" s="10">
        <f>IFERROR((INDEX('All Facts'!H:H,MATCH(Solver!$B14,'All Facts'!$B:$B,0),1)/INDEX('All Facts'!$F:$F,MATCH(Solver!$B14,'All Facts'!$B:$B,0),1)*$C14)+E$5+AD7,0)</f>
        <v>83.77463307680209</v>
      </c>
      <c r="F14" s="10">
        <f>IFERROR((INDEX('All Facts'!I:I,MATCH(Solver!$B14,'All Facts'!$B:$B,0),1)/INDEX('All Facts'!$F:$F,MATCH(Solver!$B14,'All Facts'!$B:$B,0),1)*$C14)+F$5+AE7,0)</f>
        <v>39.476351351355632</v>
      </c>
      <c r="G14" s="10">
        <f>IFERROR((INDEX('All Facts'!J:J,MATCH(Solver!$B14,'All Facts'!$B:$B,0),1)/INDEX('All Facts'!$F:$F,MATCH(Solver!$B14,'All Facts'!$B:$B,0),1)*$C14)+G$5+AF7,0)</f>
        <v>176.20724449611311</v>
      </c>
      <c r="H14" s="10">
        <f>IFERROR((INDEX('All Facts'!K:K,MATCH(Solver!$B14,'All Facts'!$B:$B,0),1)/INDEX('All Facts'!$F:$F,MATCH(Solver!$B14,'All Facts'!$B:$B,0),1)*$C14)+H$5+AG7,0)</f>
        <v>7.1875000000214033</v>
      </c>
      <c r="I14" s="10">
        <f>IFERROR((INDEX('All Facts'!L:L,MATCH(Solver!$B14,'All Facts'!$B:$B,0),1)/INDEX('All Facts'!$F:$F,MATCH(Solver!$B14,'All Facts'!$B:$B,0),1)*$C14)+I$5+AH7,0)</f>
        <v>0</v>
      </c>
      <c r="J14" s="10">
        <f>IFERROR((INDEX('All Facts'!M:M,MATCH(Solver!$B14,'All Facts'!$B:$B,0),1)/INDEX('All Facts'!$F:$F,MATCH(Solver!$B14,'All Facts'!$B:$B,0),1)*$C14)+J$5+AI7,0)</f>
        <v>0</v>
      </c>
      <c r="K14" s="10">
        <f>IFERROR((INDEX('All Facts'!N:N,MATCH(Solver!$B14,'All Facts'!$B:$B,0),1)/INDEX('All Facts'!$F:$F,MATCH(Solver!$B14,'All Facts'!$B:$B,0),1)*$C14)+K$5+AJ7,0)</f>
        <v>15.00000000012842</v>
      </c>
      <c r="L14" s="10">
        <f>IFERROR((INDEX('All Facts'!O:O,MATCH(Solver!$B14,'All Facts'!$B:$B,0),1)/INDEX('All Facts'!$F:$F,MATCH(Solver!$B14,'All Facts'!$B:$B,0),1)*$C14)+L$5+AK7,0)</f>
        <v>461.25000000072771</v>
      </c>
      <c r="M14" s="10">
        <f>IFERROR((INDEX('All Facts'!P:P,MATCH(Solver!$B14,'All Facts'!$B:$B,0),1)/INDEX('All Facts'!$F:$F,MATCH(Solver!$B14,'All Facts'!$B:$B,0),1)*$C14)+M$5+AL7,0)</f>
        <v>8.561351615574219E-13</v>
      </c>
      <c r="N14" s="10">
        <f>IFERROR((INDEX('All Facts'!Q:Q,MATCH(Solver!$B14,'All Facts'!$B:$B,0),1)/INDEX('All Facts'!$F:$F,MATCH(Solver!$B14,'All Facts'!$B:$B,0),1)*$C14)+N$5+AM7,0)</f>
        <v>76.520270271126407</v>
      </c>
      <c r="O14" s="10">
        <f>IFERROR((INDEX('All Facts'!R:R,MATCH(Solver!$B14,'All Facts'!$B:$B,0),1)/INDEX('All Facts'!$F:$F,MATCH(Solver!$B14,'All Facts'!$B:$B,0),1)*$C14)+O$5+AN7,0)</f>
        <v>13.56350366922851</v>
      </c>
      <c r="P14" s="10">
        <f>IFERROR((INDEX('All Facts'!S:S,MATCH(Solver!$B14,'All Facts'!$B:$B,0),1)/INDEX('All Facts'!$F:$F,MATCH(Solver!$B14,'All Facts'!$B:$B,0),1)*$C14)+P$5+AO7,0)</f>
        <v>1022.1283783785069</v>
      </c>
      <c r="Q14" s="10">
        <f>IFERROR((INDEX('All Facts'!T:T,MATCH(Solver!$B14,'All Facts'!$B:$B,0),1)/INDEX('All Facts'!$F:$F,MATCH(Solver!$B14,'All Facts'!$B:$B,0),1)*$C14)+Q$5+AP7,0)</f>
        <v>5.7770270270270272</v>
      </c>
      <c r="R14" s="10">
        <f>IFERROR((INDEX('All Facts'!U:U,MATCH(Solver!$B14,'All Facts'!$B:$B,0),1)/INDEX('All Facts'!$F:$F,MATCH(Solver!$B14,'All Facts'!$B:$B,0),1)*$C14)+R$5+AQ7,0)</f>
        <v>8.513513513513514</v>
      </c>
      <c r="S14" s="10">
        <f>IFERROR((INDEX('All Facts'!V:V,MATCH(Solver!$B14,'All Facts'!$B:$B,0),1)/INDEX('All Facts'!$F:$F,MATCH(Solver!$B14,'All Facts'!$B:$B,0),1)*$C14)+S$5+AR7,0)</f>
        <v>26.351351351351354</v>
      </c>
      <c r="T14" s="10">
        <f>IFERROR((INDEX('All Facts'!W:W,MATCH(Solver!$B14,'All Facts'!$B:$B,0),1)/INDEX('All Facts'!$F:$F,MATCH(Solver!$B14,'All Facts'!$B:$B,0),1)*$C14)+T$5+AS7,0)</f>
        <v>0.20270270270270271</v>
      </c>
      <c r="U14" s="10">
        <f>IFERROR((INDEX('All Facts'!X:X,MATCH(Solver!$B14,'All Facts'!$B:$B,0),1)/INDEX('All Facts'!$F:$F,MATCH(Solver!$B14,'All Facts'!$B:$B,0),1)*$C14)+U$5+AT7,0)</f>
        <v>0</v>
      </c>
      <c r="V14" s="10">
        <f>IFERROR((INDEX('All Facts'!Y:Y,MATCH(Solver!$B14,'All Facts'!$B:$B,0),1)/INDEX('All Facts'!$F:$F,MATCH(Solver!$B14,'All Facts'!$B:$B,0),1)*$C14)+V$5+AU7,0)</f>
        <v>0</v>
      </c>
      <c r="W14" s="10">
        <f>IFERROR((INDEX('All Facts'!Z:Z,MATCH(Solver!$B14,'All Facts'!$B:$B,0),1)/INDEX('All Facts'!$F:$F,MATCH(Solver!$B14,'All Facts'!$B:$B,0),1)*$C14)+W$5+AV7,0)</f>
        <v>0</v>
      </c>
      <c r="X14" s="3">
        <v>794.39461873326036</v>
      </c>
      <c r="Y14" s="8">
        <f>C14*0.00220462262184877</f>
        <v>1.7513392679603821</v>
      </c>
    </row>
    <row r="15" spans="1:49" ht="30" x14ac:dyDescent="0.25">
      <c r="A15" s="3">
        <v>7</v>
      </c>
      <c r="B15" s="4" t="s">
        <v>42</v>
      </c>
      <c r="C15" s="5">
        <v>677.1007371003036</v>
      </c>
      <c r="D15" s="9">
        <f>IFERROR(Recipie!D23+D$5+AC$8,0)</f>
        <v>1600</v>
      </c>
      <c r="E15" s="9">
        <f>IFERROR(Recipie!E23+E$5+AD$8,0)</f>
        <v>50.170542295587204</v>
      </c>
      <c r="F15" s="9">
        <f>IFERROR(Recipie!F23+F$5+AE$8,0)</f>
        <v>95.09534047031029</v>
      </c>
      <c r="G15" s="9">
        <f>IFERROR(Recipie!G23+G$5+AF$8,0)</f>
        <v>188.14053176546986</v>
      </c>
      <c r="H15" s="9">
        <f>IFERROR(Recipie!H23+H$5+AG$8,0)</f>
        <v>10.187500000027098</v>
      </c>
      <c r="I15" s="9">
        <f>IFERROR(Recipie!I23+I$5+AH$8,0)</f>
        <v>0</v>
      </c>
      <c r="J15" s="9">
        <f>IFERROR(Recipie!J23+J$5+AI$8,0)</f>
        <v>0</v>
      </c>
      <c r="K15" s="9">
        <f>IFERROR(Recipie!K23+K$5+AJ$8,0)</f>
        <v>868.64338364323658</v>
      </c>
      <c r="L15" s="9">
        <f>IFERROR(Recipie!L23+L$5+AK$8,0)</f>
        <v>1054.6656721663032</v>
      </c>
      <c r="M15" s="9">
        <f>IFERROR(Recipie!M23+M$5+AL$8,0)</f>
        <v>2.000000000001084</v>
      </c>
      <c r="N15" s="9">
        <f>IFERROR(Recipie!N23+N$5+AM$8,0)</f>
        <v>136.52027027135424</v>
      </c>
      <c r="O15" s="9">
        <f>IFERROR(Recipie!O23+O$5+AN$8,0)</f>
        <v>10.469942084939762</v>
      </c>
      <c r="P15" s="9">
        <f>IFERROR(Recipie!P23+P$5+AO$8,0)</f>
        <v>1094.6748859250022</v>
      </c>
      <c r="Q15" s="9">
        <f>IFERROR(Recipie!Q23+Q$5+AP$8,0)</f>
        <v>5.7770270270270272</v>
      </c>
      <c r="R15" s="9">
        <f>IFERROR(Recipie!R23+R$5+AQ$8,0)</f>
        <v>8.513513513513514</v>
      </c>
      <c r="S15" s="9">
        <f>IFERROR(Recipie!S23+S$5+AR$8,0)</f>
        <v>26.351351351351354</v>
      </c>
      <c r="T15" s="9">
        <f>IFERROR(Recipie!T23+T$5+AS$8,0)</f>
        <v>0.20270270270270271</v>
      </c>
      <c r="U15" s="9">
        <f>IFERROR(Recipie!U23+U$5+AT$8,0)</f>
        <v>120.9108459107685</v>
      </c>
      <c r="V15" s="9">
        <f>IFERROR(Recipie!V23+V$5+AU$8,0)</f>
        <v>3.3855036855015177</v>
      </c>
      <c r="W15" s="9">
        <f>IFERROR(Recipie!W23+W$5+AV$8,0)</f>
        <v>0.53200772200738145</v>
      </c>
      <c r="X15" s="3">
        <v>677</v>
      </c>
      <c r="Y15" s="8">
        <f>C15*0.00220462262184877</f>
        <v>1.4927516022818059</v>
      </c>
    </row>
    <row r="18" spans="4:7" x14ac:dyDescent="0.25">
      <c r="D18" s="12"/>
    </row>
    <row r="19" spans="4:7" x14ac:dyDescent="0.25">
      <c r="D19" s="12"/>
    </row>
    <row r="22" spans="4:7" x14ac:dyDescent="0.25">
      <c r="F22" s="1"/>
    </row>
    <row r="23" spans="4:7" x14ac:dyDescent="0.25">
      <c r="F23" t="s">
        <v>48</v>
      </c>
      <c r="G23" t="s">
        <v>49</v>
      </c>
    </row>
    <row r="24" spans="4:7" x14ac:dyDescent="0.25">
      <c r="E24" t="s">
        <v>71</v>
      </c>
      <c r="F24">
        <f>F26-F34</f>
        <v>129</v>
      </c>
      <c r="G24" s="12">
        <f>MIN(G9:G15)</f>
        <v>114.90904365904012</v>
      </c>
    </row>
    <row r="25" spans="4:7" x14ac:dyDescent="0.25">
      <c r="E25" t="s">
        <v>72</v>
      </c>
      <c r="F25">
        <f>F34+F26</f>
        <v>211</v>
      </c>
      <c r="G25" s="12">
        <f>MAX(G9:G15)</f>
        <v>189.6150635322652</v>
      </c>
    </row>
    <row r="26" spans="4:7" x14ac:dyDescent="0.25">
      <c r="E26" t="s">
        <v>73</v>
      </c>
      <c r="F26">
        <v>170</v>
      </c>
      <c r="G26" s="12">
        <f>AVERAGE(G9:G15)</f>
        <v>174.6906747495338</v>
      </c>
    </row>
    <row r="27" spans="4:7" x14ac:dyDescent="0.25">
      <c r="E27" t="s">
        <v>67</v>
      </c>
      <c r="F27">
        <f>F29-G34</f>
        <v>1436</v>
      </c>
      <c r="G27" s="12">
        <f>MIN(D9:D15)</f>
        <v>1599.9999990173146</v>
      </c>
    </row>
    <row r="28" spans="4:7" x14ac:dyDescent="0.25">
      <c r="E28" t="s">
        <v>69</v>
      </c>
      <c r="F28">
        <f>F29+G34</f>
        <v>1764</v>
      </c>
      <c r="G28" s="12">
        <f>MAX(D9:D15)</f>
        <v>1600</v>
      </c>
    </row>
    <row r="29" spans="4:7" x14ac:dyDescent="0.25">
      <c r="E29" t="s">
        <v>68</v>
      </c>
      <c r="F29">
        <v>1600</v>
      </c>
      <c r="G29" s="12">
        <f>AVERAGE(D9:D15)</f>
        <v>1599.9999997192328</v>
      </c>
    </row>
    <row r="33" spans="5:7" x14ac:dyDescent="0.25">
      <c r="F33" t="s">
        <v>66</v>
      </c>
      <c r="G33" t="s">
        <v>8</v>
      </c>
    </row>
    <row r="34" spans="5:7" x14ac:dyDescent="0.25">
      <c r="E34" t="s">
        <v>70</v>
      </c>
      <c r="F34">
        <v>41</v>
      </c>
      <c r="G34">
        <f>4*F34</f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5ED9-40BA-429B-AC51-010A3208DFE0}">
  <dimension ref="B1:D11"/>
  <sheetViews>
    <sheetView workbookViewId="0">
      <selection activeCell="C2" sqref="C2"/>
    </sheetView>
  </sheetViews>
  <sheetFormatPr defaultRowHeight="15" x14ac:dyDescent="0.25"/>
  <cols>
    <col min="2" max="2" width="34.28515625" bestFit="1" customWidth="1"/>
  </cols>
  <sheetData>
    <row r="1" spans="2:4" x14ac:dyDescent="0.25">
      <c r="B1" s="4" t="s">
        <v>1</v>
      </c>
      <c r="C1" t="s">
        <v>64</v>
      </c>
      <c r="D1" t="s">
        <v>59</v>
      </c>
    </row>
    <row r="2" spans="2:4" x14ac:dyDescent="0.25">
      <c r="B2" s="4" t="s">
        <v>57</v>
      </c>
      <c r="C2" s="13">
        <f>Solver!Y11</f>
        <v>1.0262054233934466</v>
      </c>
      <c r="D2" t="s">
        <v>53</v>
      </c>
    </row>
    <row r="3" spans="2:4" x14ac:dyDescent="0.25">
      <c r="B3" s="4" t="s">
        <v>21</v>
      </c>
      <c r="C3" s="13">
        <f>Solver!Y12</f>
        <v>1.4927516022818059</v>
      </c>
      <c r="D3" t="s">
        <v>53</v>
      </c>
    </row>
    <row r="4" spans="2:4" ht="30" x14ac:dyDescent="0.25">
      <c r="B4" s="4" t="s">
        <v>23</v>
      </c>
      <c r="C4" s="13">
        <f>Solver!Y13+Solver!Y9</f>
        <v>4.9604008992518462</v>
      </c>
      <c r="D4" t="s">
        <v>53</v>
      </c>
    </row>
    <row r="5" spans="2:4" x14ac:dyDescent="0.25">
      <c r="B5" s="4" t="s">
        <v>24</v>
      </c>
      <c r="C5" s="13">
        <f>(Solver!C2*6)*0.00220462262184877</f>
        <v>1.9841603596638928</v>
      </c>
      <c r="D5" t="s">
        <v>53</v>
      </c>
    </row>
    <row r="6" spans="2:4" x14ac:dyDescent="0.25">
      <c r="B6" s="4" t="s">
        <v>30</v>
      </c>
      <c r="C6">
        <f>(Solver!C3*6)*('All Facts'!D6/'All Facts'!F6)</f>
        <v>22.5</v>
      </c>
      <c r="D6" t="s">
        <v>31</v>
      </c>
    </row>
    <row r="7" spans="2:4" x14ac:dyDescent="0.25">
      <c r="B7" s="4" t="s">
        <v>32</v>
      </c>
      <c r="C7">
        <f>(Solver!C4*6)*('All Facts'!D7/'All Facts'!F7)</f>
        <v>12</v>
      </c>
      <c r="D7" t="s">
        <v>60</v>
      </c>
    </row>
    <row r="8" spans="2:4" x14ac:dyDescent="0.25">
      <c r="B8" s="4" t="s">
        <v>34</v>
      </c>
      <c r="C8" s="13">
        <f>Solver!Y10+Solver!Y14</f>
        <v>3.5026785359207642</v>
      </c>
      <c r="D8" t="s">
        <v>53</v>
      </c>
    </row>
    <row r="9" spans="2:4" x14ac:dyDescent="0.25">
      <c r="B9" s="4" t="s">
        <v>35</v>
      </c>
      <c r="C9">
        <f>(Recipie!C2+Recipie!C8+Recipie!C14)*('All Facts'!D9/'All Facts'!F9)</f>
        <v>8</v>
      </c>
      <c r="D9" t="s">
        <v>61</v>
      </c>
    </row>
    <row r="10" spans="2:4" x14ac:dyDescent="0.25">
      <c r="B10" s="4" t="s">
        <v>37</v>
      </c>
      <c r="C10" s="13">
        <f>(Recipie!C3+Recipie!C9+Recipie!C15)*('All Facts'!D10/'All Facts'!F10)</f>
        <v>1.7074954060449126</v>
      </c>
      <c r="D10" t="s">
        <v>62</v>
      </c>
    </row>
    <row r="11" spans="2:4" x14ac:dyDescent="0.25">
      <c r="B11" s="4" t="s">
        <v>50</v>
      </c>
      <c r="C11" s="12">
        <f>SUM(Solver!AB3:AB6)</f>
        <v>5.7980919560645141</v>
      </c>
      <c r="D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Facts</vt:lpstr>
      <vt:lpstr>Recipie</vt:lpstr>
      <vt:lpstr>Solver</vt:lpstr>
      <vt:lpstr>Shopping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Paredes</dc:creator>
  <cp:lastModifiedBy>Alexander Paredes</cp:lastModifiedBy>
  <dcterms:created xsi:type="dcterms:W3CDTF">2015-06-05T18:17:20Z</dcterms:created>
  <dcterms:modified xsi:type="dcterms:W3CDTF">2026-03-11T00:11:26Z</dcterms:modified>
</cp:coreProperties>
</file>