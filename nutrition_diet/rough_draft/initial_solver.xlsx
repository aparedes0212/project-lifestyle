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e45d5b8aedb3d55b/Lifestyle Tracking v2/project_lifestyle/nutrition_diet/rough_draft/"/>
    </mc:Choice>
  </mc:AlternateContent>
  <xr:revisionPtr revIDLastSave="137267" documentId="11_F25DC773A252ABDACC10488ED11D693A5ADE58F2" xr6:coauthVersionLast="47" xr6:coauthVersionMax="47" xr10:uidLastSave="{1F56EC4E-D71A-432F-BF02-7BD0C2DB7EBA}"/>
  <bookViews>
    <workbookView xWindow="-120" yWindow="-120" windowWidth="29040" windowHeight="15720" activeTab="6" xr2:uid="{00000000-000D-0000-FFFF-FFFF00000000}"/>
  </bookViews>
  <sheets>
    <sheet name="All Facts" sheetId="1" r:id="rId1"/>
    <sheet name="Recipie" sheetId="2" r:id="rId2"/>
    <sheet name="Solver" sheetId="3" r:id="rId3"/>
    <sheet name="Shopping List" sheetId="4" r:id="rId4"/>
    <sheet name="Simple solver" sheetId="6" r:id="rId5"/>
    <sheet name="Simple solver (daily)" sheetId="7" r:id="rId6"/>
    <sheet name="Simple solver (working)" sheetId="8" r:id="rId7"/>
  </sheets>
  <definedNames>
    <definedName name="solver_adj" localSheetId="4" hidden="1">'Simple solver'!$V$5:$V$7</definedName>
    <definedName name="solver_adj" localSheetId="5" hidden="1">'Simple solver (daily)'!$V$2,'Simple solver (daily)'!$V$7:$V$8</definedName>
    <definedName name="solver_adj" localSheetId="6" hidden="1">'Simple solver (working)'!$V$5:$V$8</definedName>
    <definedName name="solver_adj" localSheetId="2" hidden="1">Solver!$C$9:$C$15,Solver!$AB$2:$AB$8</definedName>
    <definedName name="solver_cvg" localSheetId="4" hidden="1">0.0001</definedName>
    <definedName name="solver_cvg" localSheetId="5" hidden="1">0.0001</definedName>
    <definedName name="solver_cvg" localSheetId="6" hidden="1">0.0001</definedName>
    <definedName name="solver_cvg" localSheetId="2" hidden="1">0.0001</definedName>
    <definedName name="solver_drv" localSheetId="4" hidden="1">1</definedName>
    <definedName name="solver_drv" localSheetId="5" hidden="1">1</definedName>
    <definedName name="solver_drv" localSheetId="6" hidden="1">1</definedName>
    <definedName name="solver_drv" localSheetId="2" hidden="1">1</definedName>
    <definedName name="solver_eng" localSheetId="4" hidden="1">1</definedName>
    <definedName name="solver_eng" localSheetId="5" hidden="1">1</definedName>
    <definedName name="solver_eng" localSheetId="6" hidden="1">1</definedName>
    <definedName name="solver_eng" localSheetId="2" hidden="1">1</definedName>
    <definedName name="solver_est" localSheetId="4" hidden="1">1</definedName>
    <definedName name="solver_est" localSheetId="5" hidden="1">1</definedName>
    <definedName name="solver_est" localSheetId="6" hidden="1">1</definedName>
    <definedName name="solver_est" localSheetId="2" hidden="1">1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2" hidden="1">2147483647</definedName>
    <definedName name="solver_lhs0" localSheetId="2" hidden="1">Solver!$C$11:$C$19</definedName>
    <definedName name="solver_lhs1" localSheetId="4" hidden="1">'Simple solver'!$G$18</definedName>
    <definedName name="solver_lhs1" localSheetId="5" hidden="1">'Simple solver (daily)'!$Z$2</definedName>
    <definedName name="solver_lhs1" localSheetId="6" hidden="1">'Simple solver (working)'!$G$19</definedName>
    <definedName name="solver_lhs1" localSheetId="2" hidden="1">Solver!$C$9:$C$15</definedName>
    <definedName name="solver_lhs10" localSheetId="4" hidden="1">'Simple solver'!$V$5</definedName>
    <definedName name="solver_lhs10" localSheetId="5" hidden="1">'Simple solver (daily)'!$V$5</definedName>
    <definedName name="solver_lhs10" localSheetId="6" hidden="1">'Simple solver (working)'!$V$5</definedName>
    <definedName name="solver_lhs11" localSheetId="4" hidden="1">'Simple solver'!$Y$5:$Y$6</definedName>
    <definedName name="solver_lhs11" localSheetId="5" hidden="1">'Simple solver (daily)'!$Y$5:$Y$6</definedName>
    <definedName name="solver_lhs11" localSheetId="6" hidden="1">'Simple solver (working)'!$Y$5:$Y$6</definedName>
    <definedName name="solver_lhs2" localSheetId="4" hidden="1">'Simple solver'!$N$19</definedName>
    <definedName name="solver_lhs2" localSheetId="5" hidden="1">'Simple solver (daily)'!$Z$7</definedName>
    <definedName name="solver_lhs2" localSheetId="6" hidden="1">'Simple solver (working)'!$N$20</definedName>
    <definedName name="solver_lhs2" localSheetId="2" hidden="1">Solver!$D$9:$D$15</definedName>
    <definedName name="solver_lhs3" localSheetId="4" hidden="1">'Simple solver'!$N$22</definedName>
    <definedName name="solver_lhs3" localSheetId="5" hidden="1">'Simple solver (daily)'!$Z$8</definedName>
    <definedName name="solver_lhs3" localSheetId="6" hidden="1">'Simple solver (working)'!$N$23</definedName>
    <definedName name="solver_lhs3" localSheetId="2" hidden="1">Solver!$G$26</definedName>
    <definedName name="solver_lhs4" localSheetId="4" hidden="1">'Simple solver'!$N$22</definedName>
    <definedName name="solver_lhs4" localSheetId="5" hidden="1">'Simple solver (daily)'!$Z$8</definedName>
    <definedName name="solver_lhs4" localSheetId="6" hidden="1">'Simple solver (working)'!$V$5:$V$8</definedName>
    <definedName name="solver_lhs4" localSheetId="2" hidden="1">Solver!$G$9:$G$15</definedName>
    <definedName name="solver_lhs5" localSheetId="4" hidden="1">'Simple solver'!$N$25</definedName>
    <definedName name="solver_lhs5" localSheetId="5" hidden="1">'Simple solver (daily)'!$N$26</definedName>
    <definedName name="solver_lhs5" localSheetId="6" hidden="1">'Simple solver (working)'!$N$26</definedName>
    <definedName name="solver_lhs5" localSheetId="2" hidden="1">Solver!$G$28</definedName>
    <definedName name="solver_lhs6" localSheetId="4" hidden="1">'Simple solver'!$Y$6</definedName>
    <definedName name="solver_lhs6" localSheetId="5" hidden="1">'Simple solver (daily)'!$Y$6</definedName>
    <definedName name="solver_lhs6" localSheetId="6" hidden="1">'Simple solver (working)'!$Y$6</definedName>
    <definedName name="solver_lhs6" localSheetId="2" hidden="1">Solver!$G$28</definedName>
    <definedName name="solver_lhs7" localSheetId="4" hidden="1">'Simple solver'!$V$2:$V$4</definedName>
    <definedName name="solver_lhs7" localSheetId="5" hidden="1">'Simple solver (daily)'!$V$2:$V$4</definedName>
    <definedName name="solver_lhs7" localSheetId="6" hidden="1">'Simple solver (working)'!$V$2:$V$4</definedName>
    <definedName name="solver_lhs7" localSheetId="2" hidden="1">Solver!$G$29</definedName>
    <definedName name="solver_lhs8" localSheetId="4" hidden="1">'Simple solver'!$V$2:$V$7</definedName>
    <definedName name="solver_lhs8" localSheetId="5" hidden="1">'Simple solver (daily)'!$V$2:$V$7</definedName>
    <definedName name="solver_lhs8" localSheetId="6" hidden="1">'Simple solver (working)'!$V$2:$V$7</definedName>
    <definedName name="solver_lhs9" localSheetId="4" hidden="1">'Simple solver'!$V$3:$V$5</definedName>
    <definedName name="solver_lhs9" localSheetId="5" hidden="1">'Simple solver (daily)'!$V$3:$V$5</definedName>
    <definedName name="solver_lhs9" localSheetId="6" hidden="1">'Simple solver (working)'!$V$3:$V$5</definedName>
    <definedName name="solver_mip" localSheetId="4" hidden="1">2147483647</definedName>
    <definedName name="solver_mip" localSheetId="5" hidden="1">2147483647</definedName>
    <definedName name="solver_mip" localSheetId="6" hidden="1">2147483647</definedName>
    <definedName name="solver_mip" localSheetId="2" hidden="1">2147483647</definedName>
    <definedName name="solver_mni" localSheetId="4" hidden="1">30</definedName>
    <definedName name="solver_mni" localSheetId="5" hidden="1">30</definedName>
    <definedName name="solver_mni" localSheetId="6" hidden="1">30</definedName>
    <definedName name="solver_mni" localSheetId="2" hidden="1">30</definedName>
    <definedName name="solver_mrt" localSheetId="4" hidden="1">0.075</definedName>
    <definedName name="solver_mrt" localSheetId="5" hidden="1">0.075</definedName>
    <definedName name="solver_mrt" localSheetId="6" hidden="1">0.075</definedName>
    <definedName name="solver_mrt" localSheetId="2" hidden="1">0.075</definedName>
    <definedName name="solver_msl" localSheetId="4" hidden="1">2</definedName>
    <definedName name="solver_msl" localSheetId="5" hidden="1">2</definedName>
    <definedName name="solver_msl" localSheetId="6" hidden="1">2</definedName>
    <definedName name="solver_msl" localSheetId="2" hidden="1">2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2" hidden="1">1</definedName>
    <definedName name="solver_nod" localSheetId="4" hidden="1">2147483647</definedName>
    <definedName name="solver_nod" localSheetId="5" hidden="1">2147483647</definedName>
    <definedName name="solver_nod" localSheetId="6" hidden="1">2147483647</definedName>
    <definedName name="solver_nod" localSheetId="2" hidden="1">2147483647</definedName>
    <definedName name="solver_num" localSheetId="4" hidden="1">6</definedName>
    <definedName name="solver_num" localSheetId="5" hidden="1">4</definedName>
    <definedName name="solver_num" localSheetId="6" hidden="1">4</definedName>
    <definedName name="solver_num" localSheetId="2" hidden="1">3</definedName>
    <definedName name="solver_nwt" localSheetId="4" hidden="1">1</definedName>
    <definedName name="solver_nwt" localSheetId="5" hidden="1">1</definedName>
    <definedName name="solver_nwt" localSheetId="6" hidden="1">1</definedName>
    <definedName name="solver_nwt" localSheetId="2" hidden="1">1</definedName>
    <definedName name="solver_opt" localSheetId="4" hidden="1">'Simple solver'!$F$25</definedName>
    <definedName name="solver_opt" localSheetId="5" hidden="1">'Simple solver (daily)'!$G$19</definedName>
    <definedName name="solver_opt" localSheetId="6" hidden="1">'Simple solver (working)'!$V$8</definedName>
    <definedName name="solver_opt" localSheetId="2" hidden="1">Solver!$AB$11</definedName>
    <definedName name="solver_pre" localSheetId="4" hidden="1">0.000001</definedName>
    <definedName name="solver_pre" localSheetId="5" hidden="1">0.000001</definedName>
    <definedName name="solver_pre" localSheetId="6" hidden="1">0.000001</definedName>
    <definedName name="solver_pre" localSheetId="2" hidden="1">0.000001</definedName>
    <definedName name="solver_rbv" localSheetId="4" hidden="1">1</definedName>
    <definedName name="solver_rbv" localSheetId="5" hidden="1">1</definedName>
    <definedName name="solver_rbv" localSheetId="6" hidden="1">1</definedName>
    <definedName name="solver_rbv" localSheetId="2" hidden="1">1</definedName>
    <definedName name="solver_rel0" localSheetId="2" hidden="1">3</definedName>
    <definedName name="solver_rel1" localSheetId="4" hidden="1">2</definedName>
    <definedName name="solver_rel1" localSheetId="5" hidden="1">2</definedName>
    <definedName name="solver_rel1" localSheetId="6" hidden="1">1</definedName>
    <definedName name="solver_rel1" localSheetId="2" hidden="1">3</definedName>
    <definedName name="solver_rel10" localSheetId="4" hidden="1">1</definedName>
    <definedName name="solver_rel10" localSheetId="5" hidden="1">1</definedName>
    <definedName name="solver_rel10" localSheetId="6" hidden="1">1</definedName>
    <definedName name="solver_rel11" localSheetId="4" hidden="1">1</definedName>
    <definedName name="solver_rel11" localSheetId="5" hidden="1">1</definedName>
    <definedName name="solver_rel11" localSheetId="6" hidden="1">1</definedName>
    <definedName name="solver_rel2" localSheetId="4" hidden="1">3</definedName>
    <definedName name="solver_rel2" localSheetId="5" hidden="1">2</definedName>
    <definedName name="solver_rel2" localSheetId="6" hidden="1">3</definedName>
    <definedName name="solver_rel2" localSheetId="2" hidden="1">2</definedName>
    <definedName name="solver_rel3" localSheetId="4" hidden="1">1</definedName>
    <definedName name="solver_rel3" localSheetId="5" hidden="1">2</definedName>
    <definedName name="solver_rel3" localSheetId="6" hidden="1">3</definedName>
    <definedName name="solver_rel3" localSheetId="2" hidden="1">3</definedName>
    <definedName name="solver_rel4" localSheetId="4" hidden="1">3</definedName>
    <definedName name="solver_rel4" localSheetId="5" hidden="1">2</definedName>
    <definedName name="solver_rel4" localSheetId="6" hidden="1">3</definedName>
    <definedName name="solver_rel4" localSheetId="2" hidden="1">3</definedName>
    <definedName name="solver_rel5" localSheetId="4" hidden="1">1</definedName>
    <definedName name="solver_rel5" localSheetId="5" hidden="1">1</definedName>
    <definedName name="solver_rel5" localSheetId="6" hidden="1">1</definedName>
    <definedName name="solver_rel5" localSheetId="2" hidden="1">1</definedName>
    <definedName name="solver_rel6" localSheetId="4" hidden="1">3</definedName>
    <definedName name="solver_rel6" localSheetId="5" hidden="1">3</definedName>
    <definedName name="solver_rel6" localSheetId="6" hidden="1">3</definedName>
    <definedName name="solver_rel6" localSheetId="2" hidden="1">1</definedName>
    <definedName name="solver_rel7" localSheetId="4" hidden="1">1</definedName>
    <definedName name="solver_rel7" localSheetId="5" hidden="1">1</definedName>
    <definedName name="solver_rel7" localSheetId="6" hidden="1">1</definedName>
    <definedName name="solver_rel7" localSheetId="2" hidden="1">3</definedName>
    <definedName name="solver_rel8" localSheetId="4" hidden="1">3</definedName>
    <definedName name="solver_rel8" localSheetId="5" hidden="1">3</definedName>
    <definedName name="solver_rel8" localSheetId="6" hidden="1">3</definedName>
    <definedName name="solver_rel9" localSheetId="4" hidden="1">4</definedName>
    <definedName name="solver_rel9" localSheetId="5" hidden="1">4</definedName>
    <definedName name="solver_rel9" localSheetId="6" hidden="1">4</definedName>
    <definedName name="solver_rhs0" localSheetId="2" hidden="1">Solver!$X$11:$X$19</definedName>
    <definedName name="solver_rhs1" localSheetId="4" hidden="1">1800</definedName>
    <definedName name="solver_rhs1" localSheetId="5" hidden="1">'Simple solver (daily)'!$Z$7</definedName>
    <definedName name="solver_rhs1" localSheetId="6" hidden="1">'Simple solver (working)'!$G$21</definedName>
    <definedName name="solver_rhs1" localSheetId="2" hidden="1">113.398</definedName>
    <definedName name="solver_rhs10" localSheetId="4" hidden="1">'Simple solver'!$C$5</definedName>
    <definedName name="solver_rhs10" localSheetId="5" hidden="1">'Simple solver (daily)'!$C$5</definedName>
    <definedName name="solver_rhs10" localSheetId="6" hidden="1">'Simple solver (working)'!$C$5</definedName>
    <definedName name="solver_rhs11" localSheetId="4" hidden="1">1</definedName>
    <definedName name="solver_rhs11" localSheetId="5" hidden="1">1</definedName>
    <definedName name="solver_rhs11" localSheetId="6" hidden="1">1</definedName>
    <definedName name="solver_rhs2" localSheetId="4" hidden="1">'Simple solver'!$L$19</definedName>
    <definedName name="solver_rhs2" localSheetId="5" hidden="1">'Simple solver (daily)'!$Z$8</definedName>
    <definedName name="solver_rhs2" localSheetId="6" hidden="1">'Simple solver (working)'!$L$20</definedName>
    <definedName name="solver_rhs2" localSheetId="2" hidden="1">Solver!$F$29</definedName>
    <definedName name="solver_rhs3" localSheetId="4" hidden="1">'Simple solver'!$M$22</definedName>
    <definedName name="solver_rhs3" localSheetId="5" hidden="1">'Simple solver (daily)'!$Z$2</definedName>
    <definedName name="solver_rhs3" localSheetId="6" hidden="1">'Simple solver (working)'!$L$23</definedName>
    <definedName name="solver_rhs3" localSheetId="2" hidden="1">Solver!$F$26</definedName>
    <definedName name="solver_rhs4" localSheetId="4" hidden="1">'Simple solver'!$L$22</definedName>
    <definedName name="solver_rhs4" localSheetId="5" hidden="1">75</definedName>
    <definedName name="solver_rhs4" localSheetId="6" hidden="1">1</definedName>
    <definedName name="solver_rhs4" localSheetId="2" hidden="1">Solver!$F$24</definedName>
    <definedName name="solver_rhs5" localSheetId="4" hidden="1">'Simple solver'!$M$25</definedName>
    <definedName name="solver_rhs5" localSheetId="5" hidden="1">'Simple solver (daily)'!$M$26</definedName>
    <definedName name="solver_rhs5" localSheetId="6" hidden="1">'Simple solver (working)'!$M$26</definedName>
    <definedName name="solver_rhs5" localSheetId="2" hidden="1">Solver!$F$28</definedName>
    <definedName name="solver_rhs6" localSheetId="4" hidden="1">'Simple solver'!$Y$5</definedName>
    <definedName name="solver_rhs6" localSheetId="5" hidden="1">'Simple solver (daily)'!$Y$5</definedName>
    <definedName name="solver_rhs6" localSheetId="6" hidden="1">'Simple solver (working)'!$Y$5</definedName>
    <definedName name="solver_rhs6" localSheetId="2" hidden="1">Solver!$F$28</definedName>
    <definedName name="solver_rhs7" localSheetId="4" hidden="1">2</definedName>
    <definedName name="solver_rhs7" localSheetId="5" hidden="1">2</definedName>
    <definedName name="solver_rhs7" localSheetId="6" hidden="1">2</definedName>
    <definedName name="solver_rhs7" localSheetId="2" hidden="1">Solver!$F$29</definedName>
    <definedName name="solver_rhs8" localSheetId="4" hidden="1">1</definedName>
    <definedName name="solver_rhs8" localSheetId="5" hidden="1">1</definedName>
    <definedName name="solver_rhs8" localSheetId="6" hidden="1">1</definedName>
    <definedName name="solver_rhs9" localSheetId="4" hidden="1">"integer"</definedName>
    <definedName name="solver_rhs9" localSheetId="5" hidden="1">"integer"</definedName>
    <definedName name="solver_rhs9" localSheetId="6" hidden="1">"integer"</definedName>
    <definedName name="solver_rlx" localSheetId="4" hidden="1">2</definedName>
    <definedName name="solver_rlx" localSheetId="5" hidden="1">2</definedName>
    <definedName name="solver_rlx" localSheetId="6" hidden="1">2</definedName>
    <definedName name="solver_rlx" localSheetId="2" hidden="1">2</definedName>
    <definedName name="solver_rsd" localSheetId="4" hidden="1">0</definedName>
    <definedName name="solver_rsd" localSheetId="5" hidden="1">0</definedName>
    <definedName name="solver_rsd" localSheetId="6" hidden="1">0</definedName>
    <definedName name="solver_rsd" localSheetId="2" hidden="1">0</definedName>
    <definedName name="solver_scl" localSheetId="4" hidden="1">1</definedName>
    <definedName name="solver_scl" localSheetId="5" hidden="1">1</definedName>
    <definedName name="solver_scl" localSheetId="6" hidden="1">1</definedName>
    <definedName name="solver_scl" localSheetId="2" hidden="1">1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2" hidden="1">2</definedName>
    <definedName name="solver_ssz" localSheetId="4" hidden="1">100</definedName>
    <definedName name="solver_ssz" localSheetId="5" hidden="1">100</definedName>
    <definedName name="solver_ssz" localSheetId="6" hidden="1">100</definedName>
    <definedName name="solver_ssz" localSheetId="2" hidden="1">100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2" hidden="1">2147483647</definedName>
    <definedName name="solver_tol" localSheetId="4" hidden="1">0.01</definedName>
    <definedName name="solver_tol" localSheetId="5" hidden="1">0.01</definedName>
    <definedName name="solver_tol" localSheetId="6" hidden="1">0.01</definedName>
    <definedName name="solver_tol" localSheetId="2" hidden="1">0.01</definedName>
    <definedName name="solver_typ" localSheetId="4" hidden="1">1</definedName>
    <definedName name="solver_typ" localSheetId="5" hidden="1">1</definedName>
    <definedName name="solver_typ" localSheetId="6" hidden="1">1</definedName>
    <definedName name="solver_typ" localSheetId="2" hidden="1">1</definedName>
    <definedName name="solver_val" localSheetId="4" hidden="1">0</definedName>
    <definedName name="solver_val" localSheetId="5" hidden="1">1600</definedName>
    <definedName name="solver_val" localSheetId="6" hidden="1">1600</definedName>
    <definedName name="solver_val" localSheetId="2" hidden="1">1600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M20" i="8" s="1"/>
  <c r="AB3" i="7"/>
  <c r="AB4" i="7"/>
  <c r="AB5" i="7"/>
  <c r="AD5" i="7" s="1"/>
  <c r="AB6" i="7"/>
  <c r="AD6" i="7" s="1"/>
  <c r="AB7" i="7"/>
  <c r="AB8" i="7"/>
  <c r="AA5" i="7"/>
  <c r="AA8" i="7"/>
  <c r="AC3" i="7"/>
  <c r="AC4" i="7"/>
  <c r="AC5" i="7"/>
  <c r="AC6" i="7"/>
  <c r="AC7" i="7"/>
  <c r="AC8" i="7"/>
  <c r="AC2" i="7"/>
  <c r="L20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Z8" i="8" s="1"/>
  <c r="E17" i="8"/>
  <c r="D17" i="8"/>
  <c r="C17" i="8"/>
  <c r="B17" i="8"/>
  <c r="A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Z6" i="8" s="1"/>
  <c r="E15" i="8"/>
  <c r="D15" i="8"/>
  <c r="C15" i="8"/>
  <c r="B15" i="8"/>
  <c r="A15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Z5" i="8" s="1"/>
  <c r="E14" i="8"/>
  <c r="D14" i="8"/>
  <c r="C14" i="8"/>
  <c r="B14" i="8"/>
  <c r="A14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Z4" i="8" s="1"/>
  <c r="E13" i="8"/>
  <c r="D13" i="8"/>
  <c r="C13" i="8"/>
  <c r="B13" i="8"/>
  <c r="A13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Z3" i="8" s="1"/>
  <c r="E12" i="8"/>
  <c r="D12" i="8"/>
  <c r="C12" i="8"/>
  <c r="B12" i="8"/>
  <c r="A12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AB7" i="8"/>
  <c r="AA7" i="8"/>
  <c r="Z7" i="8"/>
  <c r="X6" i="8"/>
  <c r="Y6" i="8" s="1"/>
  <c r="AB6" i="8" s="1"/>
  <c r="AB5" i="8"/>
  <c r="X5" i="8"/>
  <c r="Y5" i="8" s="1"/>
  <c r="AB4" i="8"/>
  <c r="AB3" i="8"/>
  <c r="AB2" i="8"/>
  <c r="Z3" i="7"/>
  <c r="AA3" i="7" s="1"/>
  <c r="M20" i="7"/>
  <c r="L20" i="7"/>
  <c r="F17" i="7"/>
  <c r="Z8" i="7" s="1"/>
  <c r="A17" i="7"/>
  <c r="B17" i="7"/>
  <c r="C17" i="7"/>
  <c r="D17" i="7"/>
  <c r="E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AA14" i="1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Z7" i="7" s="1"/>
  <c r="AA7" i="7" s="1"/>
  <c r="E16" i="7"/>
  <c r="D16" i="7"/>
  <c r="C16" i="7"/>
  <c r="B16" i="7"/>
  <c r="A16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Z6" i="7" s="1"/>
  <c r="AA6" i="7" s="1"/>
  <c r="E15" i="7"/>
  <c r="D15" i="7"/>
  <c r="C15" i="7"/>
  <c r="B15" i="7"/>
  <c r="A15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Z5" i="7" s="1"/>
  <c r="E14" i="7"/>
  <c r="D14" i="7"/>
  <c r="C14" i="7"/>
  <c r="B14" i="7"/>
  <c r="A14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Z4" i="7" s="1"/>
  <c r="AA4" i="7" s="1"/>
  <c r="E13" i="7"/>
  <c r="D13" i="7"/>
  <c r="C13" i="7"/>
  <c r="B13" i="7"/>
  <c r="A13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A12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Z2" i="7" s="1"/>
  <c r="AA2" i="7" s="1"/>
  <c r="E11" i="7"/>
  <c r="D11" i="7"/>
  <c r="C11" i="7"/>
  <c r="B11" i="7"/>
  <c r="A11" i="7"/>
  <c r="AB2" i="6"/>
  <c r="O16" i="6"/>
  <c r="AB4" i="6"/>
  <c r="AB3" i="6"/>
  <c r="AB5" i="6"/>
  <c r="AB6" i="6"/>
  <c r="L19" i="6"/>
  <c r="M19" i="6"/>
  <c r="Z7" i="6"/>
  <c r="F11" i="6"/>
  <c r="Z2" i="6" s="1"/>
  <c r="X6" i="6"/>
  <c r="Y6" i="6" s="1"/>
  <c r="X5" i="6"/>
  <c r="Y5" i="6" s="1"/>
  <c r="A12" i="6"/>
  <c r="B12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A13" i="6"/>
  <c r="B13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A14" i="6"/>
  <c r="B14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A15" i="6"/>
  <c r="B15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A16" i="6"/>
  <c r="B16" i="6"/>
  <c r="C16" i="6"/>
  <c r="D16" i="6"/>
  <c r="E16" i="6"/>
  <c r="I16" i="6"/>
  <c r="J16" i="6"/>
  <c r="K16" i="6"/>
  <c r="L16" i="6"/>
  <c r="N16" i="6"/>
  <c r="R16" i="6"/>
  <c r="S16" i="6"/>
  <c r="T16" i="6"/>
  <c r="U16" i="6"/>
  <c r="AA3" i="1"/>
  <c r="AA4" i="1"/>
  <c r="AA5" i="1"/>
  <c r="AA6" i="1"/>
  <c r="AA7" i="1"/>
  <c r="AA8" i="1"/>
  <c r="AA9" i="1"/>
  <c r="AA10" i="1"/>
  <c r="AA11" i="1"/>
  <c r="AA12" i="1"/>
  <c r="AA13" i="1"/>
  <c r="AA2" i="1"/>
  <c r="E11" i="6"/>
  <c r="D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C11" i="6"/>
  <c r="B11" i="6"/>
  <c r="A11" i="6"/>
  <c r="C22" i="2"/>
  <c r="C21" i="2" s="1"/>
  <c r="C11" i="4"/>
  <c r="C5" i="4"/>
  <c r="AB11" i="3"/>
  <c r="C6" i="4" s="1"/>
  <c r="C4" i="2"/>
  <c r="C2" i="2" s="1"/>
  <c r="F25" i="3"/>
  <c r="F24" i="3"/>
  <c r="G34" i="3"/>
  <c r="F28" i="3" s="1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Y15" i="3"/>
  <c r="C7" i="4"/>
  <c r="Y11" i="3"/>
  <c r="C2" i="4" s="1"/>
  <c r="C16" i="2"/>
  <c r="C14" i="2" s="1"/>
  <c r="Y13" i="3"/>
  <c r="AW6" i="3"/>
  <c r="S2" i="1"/>
  <c r="Q2" i="1"/>
  <c r="P2" i="1"/>
  <c r="O2" i="1"/>
  <c r="N2" i="1"/>
  <c r="K2" i="1"/>
  <c r="J2" i="1"/>
  <c r="H2" i="1"/>
  <c r="G2" i="1"/>
  <c r="F2" i="1"/>
  <c r="C10" i="2"/>
  <c r="C9" i="2" s="1"/>
  <c r="AC5" i="2"/>
  <c r="Y10" i="3"/>
  <c r="Y9" i="3"/>
  <c r="Y14" i="3"/>
  <c r="Y12" i="3"/>
  <c r="C3" i="4" s="1"/>
  <c r="AW5" i="3"/>
  <c r="AW4" i="3"/>
  <c r="AW7" i="3"/>
  <c r="AW2" i="3"/>
  <c r="AW3" i="3"/>
  <c r="AH6" i="3"/>
  <c r="C5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D2" i="3"/>
  <c r="V1" i="2"/>
  <c r="W1" i="2"/>
  <c r="E1" i="2"/>
  <c r="F1" i="2"/>
  <c r="G1" i="2"/>
  <c r="H1" i="2"/>
  <c r="I1" i="2"/>
  <c r="J1" i="2"/>
  <c r="K1" i="2"/>
  <c r="L1" i="2"/>
  <c r="M1" i="2"/>
  <c r="N1" i="2"/>
  <c r="O1" i="2"/>
  <c r="P1" i="2"/>
  <c r="Q1" i="2"/>
  <c r="R1" i="2"/>
  <c r="S1" i="2"/>
  <c r="T1" i="2"/>
  <c r="U1" i="2"/>
  <c r="D1" i="2"/>
  <c r="AB2" i="7" l="1"/>
  <c r="H24" i="8"/>
  <c r="H25" i="8" s="1"/>
  <c r="H26" i="8" s="1"/>
  <c r="N26" i="8" s="1"/>
  <c r="F26" i="8"/>
  <c r="I24" i="8"/>
  <c r="I25" i="8" s="1"/>
  <c r="I26" i="8" s="1"/>
  <c r="N23" i="8" s="1"/>
  <c r="G19" i="8"/>
  <c r="J24" i="8"/>
  <c r="J25" i="8" s="1"/>
  <c r="J26" i="8" s="1"/>
  <c r="J19" i="8"/>
  <c r="Z2" i="8"/>
  <c r="G19" i="7"/>
  <c r="H24" i="7"/>
  <c r="H25" i="7" s="1"/>
  <c r="H26" i="7" s="1"/>
  <c r="N26" i="7" s="1"/>
  <c r="I24" i="7"/>
  <c r="I25" i="7" s="1"/>
  <c r="I26" i="7" s="1"/>
  <c r="N23" i="7" s="1"/>
  <c r="J19" i="7"/>
  <c r="Q20" i="7" s="1"/>
  <c r="F26" i="7"/>
  <c r="J24" i="7"/>
  <c r="J25" i="7" s="1"/>
  <c r="J26" i="7" s="1"/>
  <c r="P16" i="6"/>
  <c r="G16" i="6"/>
  <c r="G18" i="6" s="1"/>
  <c r="M16" i="6"/>
  <c r="AB7" i="6"/>
  <c r="Q16" i="6"/>
  <c r="H16" i="6"/>
  <c r="H23" i="6" s="1"/>
  <c r="H24" i="6" s="1"/>
  <c r="H25" i="6" s="1"/>
  <c r="N25" i="6" s="1"/>
  <c r="AA7" i="6"/>
  <c r="F16" i="6"/>
  <c r="F25" i="6" s="1"/>
  <c r="J23" i="6"/>
  <c r="J24" i="6" s="1"/>
  <c r="J25" i="6" s="1"/>
  <c r="I23" i="6"/>
  <c r="I24" i="6" s="1"/>
  <c r="I25" i="6" s="1"/>
  <c r="N22" i="6" s="1"/>
  <c r="J18" i="6"/>
  <c r="C8" i="2"/>
  <c r="C11" i="2" s="1"/>
  <c r="C20" i="2"/>
  <c r="I20" i="2" s="1"/>
  <c r="F27" i="3"/>
  <c r="H22" i="2"/>
  <c r="M22" i="2"/>
  <c r="R21" i="2"/>
  <c r="Q21" i="2"/>
  <c r="J21" i="2"/>
  <c r="I22" i="2"/>
  <c r="N22" i="2"/>
  <c r="U22" i="2"/>
  <c r="T22" i="2"/>
  <c r="V22" i="2"/>
  <c r="E22" i="2"/>
  <c r="F22" i="2"/>
  <c r="D21" i="2"/>
  <c r="L21" i="2"/>
  <c r="T21" i="2"/>
  <c r="G22" i="2"/>
  <c r="O22" i="2"/>
  <c r="W22" i="2"/>
  <c r="K21" i="2"/>
  <c r="P22" i="2"/>
  <c r="Q22" i="2"/>
  <c r="E21" i="2"/>
  <c r="U21" i="2"/>
  <c r="V21" i="2"/>
  <c r="G21" i="2"/>
  <c r="O21" i="2"/>
  <c r="W21" i="2"/>
  <c r="J22" i="2"/>
  <c r="R22" i="2"/>
  <c r="M21" i="2"/>
  <c r="F21" i="2"/>
  <c r="H21" i="2"/>
  <c r="P21" i="2"/>
  <c r="K22" i="2"/>
  <c r="S22" i="2"/>
  <c r="S21" i="2"/>
  <c r="N21" i="2"/>
  <c r="I21" i="2"/>
  <c r="D22" i="2"/>
  <c r="L22" i="2"/>
  <c r="C4" i="4"/>
  <c r="C8" i="4"/>
  <c r="AU3" i="3"/>
  <c r="AM3" i="3"/>
  <c r="AE3" i="3"/>
  <c r="AO2" i="3"/>
  <c r="AG2" i="3"/>
  <c r="AS7" i="3"/>
  <c r="AK7" i="3"/>
  <c r="AC7" i="3"/>
  <c r="AO4" i="3"/>
  <c r="AG4" i="3"/>
  <c r="AS5" i="3"/>
  <c r="AK5" i="3"/>
  <c r="AC5" i="3"/>
  <c r="AO6" i="3"/>
  <c r="AG6" i="3"/>
  <c r="AT3" i="3"/>
  <c r="AL3" i="3"/>
  <c r="AV2" i="3"/>
  <c r="AN2" i="3"/>
  <c r="AF2" i="3"/>
  <c r="AR7" i="3"/>
  <c r="AJ7" i="3"/>
  <c r="AV4" i="3"/>
  <c r="AN4" i="3"/>
  <c r="AF4" i="3"/>
  <c r="AR5" i="3"/>
  <c r="AJ5" i="3"/>
  <c r="AV6" i="3"/>
  <c r="AN6" i="3"/>
  <c r="AF6" i="3"/>
  <c r="AS3" i="3"/>
  <c r="AK3" i="3"/>
  <c r="AU2" i="3"/>
  <c r="AM2" i="3"/>
  <c r="AE2" i="3"/>
  <c r="AQ7" i="3"/>
  <c r="AI7" i="3"/>
  <c r="AU4" i="3"/>
  <c r="AM4" i="3"/>
  <c r="AE4" i="3"/>
  <c r="AQ5" i="3"/>
  <c r="AI5" i="3"/>
  <c r="AU6" i="3"/>
  <c r="AM6" i="3"/>
  <c r="AE6" i="3"/>
  <c r="AR3" i="3"/>
  <c r="AJ3" i="3"/>
  <c r="AT2" i="3"/>
  <c r="AL2" i="3"/>
  <c r="AD2" i="3"/>
  <c r="AP7" i="3"/>
  <c r="AH7" i="3"/>
  <c r="AT4" i="3"/>
  <c r="AL4" i="3"/>
  <c r="AD4" i="3"/>
  <c r="AP5" i="3"/>
  <c r="AH5" i="3"/>
  <c r="AT6" i="3"/>
  <c r="AL6" i="3"/>
  <c r="AD6" i="3"/>
  <c r="AC6" i="3"/>
  <c r="AQ3" i="3"/>
  <c r="AG7" i="3"/>
  <c r="AS6" i="3"/>
  <c r="AC3" i="3"/>
  <c r="AP3" i="3"/>
  <c r="AH3" i="3"/>
  <c r="AR2" i="3"/>
  <c r="AJ2" i="3"/>
  <c r="AV7" i="3"/>
  <c r="AN7" i="3"/>
  <c r="AF7" i="3"/>
  <c r="AR4" i="3"/>
  <c r="AJ4" i="3"/>
  <c r="AV5" i="3"/>
  <c r="AN5" i="3"/>
  <c r="AF5" i="3"/>
  <c r="AR6" i="3"/>
  <c r="AJ6" i="3"/>
  <c r="AI3" i="3"/>
  <c r="AK2" i="3"/>
  <c r="AO7" i="3"/>
  <c r="AK4" i="3"/>
  <c r="AO5" i="3"/>
  <c r="AK6" i="3"/>
  <c r="AD3" i="3"/>
  <c r="AO3" i="3"/>
  <c r="AG3" i="3"/>
  <c r="AQ2" i="3"/>
  <c r="AI2" i="3"/>
  <c r="AU7" i="3"/>
  <c r="AM7" i="3"/>
  <c r="AE7" i="3"/>
  <c r="AQ4" i="3"/>
  <c r="AI4" i="3"/>
  <c r="AU5" i="3"/>
  <c r="AM5" i="3"/>
  <c r="AE5" i="3"/>
  <c r="AQ6" i="3"/>
  <c r="AI6" i="3"/>
  <c r="AS2" i="3"/>
  <c r="AC2" i="3"/>
  <c r="AS4" i="3"/>
  <c r="AC4" i="3"/>
  <c r="AG5" i="3"/>
  <c r="AV3" i="3"/>
  <c r="AN3" i="3"/>
  <c r="AF3" i="3"/>
  <c r="AP2" i="3"/>
  <c r="AH2" i="3"/>
  <c r="AT7" i="3"/>
  <c r="AL7" i="3"/>
  <c r="AD7" i="3"/>
  <c r="AP4" i="3"/>
  <c r="AH4" i="3"/>
  <c r="AT5" i="3"/>
  <c r="AL5" i="3"/>
  <c r="AD5" i="3"/>
  <c r="AP6" i="3"/>
  <c r="E16" i="2"/>
  <c r="H16" i="2"/>
  <c r="N16" i="2"/>
  <c r="R16" i="2"/>
  <c r="U16" i="2"/>
  <c r="J16" i="2"/>
  <c r="F16" i="2"/>
  <c r="M16" i="2"/>
  <c r="I16" i="2"/>
  <c r="T16" i="2"/>
  <c r="Q16" i="2"/>
  <c r="C15" i="2"/>
  <c r="R15" i="2" s="1"/>
  <c r="P16" i="2"/>
  <c r="V16" i="2"/>
  <c r="R14" i="2"/>
  <c r="P14" i="2"/>
  <c r="V14" i="2"/>
  <c r="O14" i="2"/>
  <c r="J14" i="2"/>
  <c r="H14" i="2"/>
  <c r="G14" i="2"/>
  <c r="W14" i="2"/>
  <c r="I14" i="2"/>
  <c r="Q14" i="2"/>
  <c r="G16" i="2"/>
  <c r="O16" i="2"/>
  <c r="W16" i="2"/>
  <c r="K14" i="2"/>
  <c r="S14" i="2"/>
  <c r="D14" i="2"/>
  <c r="L14" i="2"/>
  <c r="T14" i="2"/>
  <c r="E14" i="2"/>
  <c r="M14" i="2"/>
  <c r="U14" i="2"/>
  <c r="K16" i="2"/>
  <c r="S16" i="2"/>
  <c r="F14" i="2"/>
  <c r="N14" i="2"/>
  <c r="D16" i="2"/>
  <c r="L16" i="2"/>
  <c r="I4" i="2"/>
  <c r="R4" i="2"/>
  <c r="F10" i="2"/>
  <c r="V4" i="2"/>
  <c r="H4" i="2"/>
  <c r="W10" i="2"/>
  <c r="Q10" i="2"/>
  <c r="T4" i="2"/>
  <c r="S4" i="2"/>
  <c r="P4" i="2"/>
  <c r="L4" i="2"/>
  <c r="Q4" i="2"/>
  <c r="J4" i="2"/>
  <c r="I10" i="2"/>
  <c r="V10" i="2"/>
  <c r="N10" i="2"/>
  <c r="O10" i="2"/>
  <c r="G10" i="2"/>
  <c r="G4" i="2"/>
  <c r="N4" i="2"/>
  <c r="P10" i="2"/>
  <c r="H10" i="2"/>
  <c r="U10" i="2"/>
  <c r="M10" i="2"/>
  <c r="E10" i="2"/>
  <c r="T10" i="2"/>
  <c r="L10" i="2"/>
  <c r="D10" i="2"/>
  <c r="S10" i="2"/>
  <c r="K10" i="2"/>
  <c r="R10" i="2"/>
  <c r="J10" i="2"/>
  <c r="W4" i="2"/>
  <c r="O4" i="2"/>
  <c r="U4" i="2"/>
  <c r="M4" i="2"/>
  <c r="E4" i="2"/>
  <c r="K4" i="2"/>
  <c r="F4" i="2"/>
  <c r="D4" i="2"/>
  <c r="C3" i="2"/>
  <c r="L2" i="2"/>
  <c r="T2" i="2"/>
  <c r="H2" i="2"/>
  <c r="E2" i="2"/>
  <c r="M2" i="2"/>
  <c r="U2" i="2"/>
  <c r="K2" i="2"/>
  <c r="F2" i="2"/>
  <c r="N2" i="2"/>
  <c r="V2" i="2"/>
  <c r="P2" i="2"/>
  <c r="G2" i="2"/>
  <c r="O2" i="2"/>
  <c r="W2" i="2"/>
  <c r="D2" i="2"/>
  <c r="R2" i="2"/>
  <c r="I2" i="2"/>
  <c r="Q2" i="2"/>
  <c r="J2" i="2"/>
  <c r="S2" i="2"/>
  <c r="H9" i="2"/>
  <c r="P9" i="2"/>
  <c r="I9" i="2"/>
  <c r="Q9" i="2"/>
  <c r="J9" i="2"/>
  <c r="R9" i="2"/>
  <c r="K9" i="2"/>
  <c r="S9" i="2"/>
  <c r="D9" i="2"/>
  <c r="L9" i="2"/>
  <c r="T9" i="2"/>
  <c r="E9" i="2"/>
  <c r="M9" i="2"/>
  <c r="U9" i="2"/>
  <c r="F9" i="2"/>
  <c r="N9" i="2"/>
  <c r="V9" i="2"/>
  <c r="G9" i="2"/>
  <c r="O9" i="2"/>
  <c r="W9" i="2"/>
  <c r="P5" i="3"/>
  <c r="H5" i="3"/>
  <c r="O5" i="3"/>
  <c r="V5" i="3"/>
  <c r="W5" i="3"/>
  <c r="F5" i="3"/>
  <c r="K5" i="3"/>
  <c r="G5" i="3"/>
  <c r="N5" i="3"/>
  <c r="S5" i="3"/>
  <c r="R5" i="3"/>
  <c r="J5" i="3"/>
  <c r="D5" i="3"/>
  <c r="M5" i="3"/>
  <c r="E5" i="3"/>
  <c r="U5" i="3"/>
  <c r="I5" i="3"/>
  <c r="T5" i="3"/>
  <c r="L5" i="3"/>
  <c r="Q5" i="3"/>
  <c r="N20" i="8" l="1"/>
  <c r="Q20" i="8"/>
  <c r="N20" i="7"/>
  <c r="N19" i="6"/>
  <c r="Q19" i="6"/>
  <c r="Q11" i="3"/>
  <c r="W10" i="3"/>
  <c r="Q10" i="3"/>
  <c r="P14" i="3"/>
  <c r="K11" i="3"/>
  <c r="G10" i="3"/>
  <c r="N14" i="3"/>
  <c r="I14" i="3"/>
  <c r="R14" i="3"/>
  <c r="I11" i="3"/>
  <c r="O10" i="3"/>
  <c r="V14" i="3"/>
  <c r="L11" i="3"/>
  <c r="I10" i="3"/>
  <c r="Q14" i="3"/>
  <c r="F10" i="3"/>
  <c r="H11" i="3"/>
  <c r="N10" i="3"/>
  <c r="E14" i="3"/>
  <c r="S11" i="3"/>
  <c r="D10" i="3"/>
  <c r="G11" i="3"/>
  <c r="M10" i="3"/>
  <c r="P11" i="3"/>
  <c r="V10" i="3"/>
  <c r="M14" i="3"/>
  <c r="D11" i="3"/>
  <c r="H10" i="3"/>
  <c r="J10" i="3"/>
  <c r="G14" i="3"/>
  <c r="F11" i="3"/>
  <c r="L10" i="3"/>
  <c r="O11" i="3"/>
  <c r="U10" i="3"/>
  <c r="D14" i="3"/>
  <c r="U14" i="3"/>
  <c r="T11" i="3"/>
  <c r="J11" i="3"/>
  <c r="P10" i="3"/>
  <c r="O14" i="3"/>
  <c r="H14" i="3"/>
  <c r="E11" i="3"/>
  <c r="K10" i="3"/>
  <c r="N11" i="3"/>
  <c r="T10" i="3"/>
  <c r="W11" i="3"/>
  <c r="L14" i="3"/>
  <c r="R11" i="3"/>
  <c r="E10" i="3"/>
  <c r="W14" i="3"/>
  <c r="R10" i="3"/>
  <c r="M11" i="3"/>
  <c r="S10" i="3"/>
  <c r="V11" i="3"/>
  <c r="K14" i="3"/>
  <c r="T14" i="3"/>
  <c r="F14" i="3"/>
  <c r="U11" i="3"/>
  <c r="J14" i="3"/>
  <c r="S14" i="3"/>
  <c r="C10" i="4"/>
  <c r="S15" i="2"/>
  <c r="S17" i="2" s="1"/>
  <c r="S13" i="3" s="1"/>
  <c r="N20" i="2"/>
  <c r="N23" i="2" s="1"/>
  <c r="N15" i="3" s="1"/>
  <c r="F20" i="2"/>
  <c r="F23" i="2" s="1"/>
  <c r="F15" i="3" s="1"/>
  <c r="U20" i="2"/>
  <c r="U23" i="2" s="1"/>
  <c r="U15" i="3" s="1"/>
  <c r="T20" i="2"/>
  <c r="T23" i="2" s="1"/>
  <c r="T15" i="3" s="1"/>
  <c r="K20" i="2"/>
  <c r="K23" i="2" s="1"/>
  <c r="K15" i="3" s="1"/>
  <c r="E20" i="2"/>
  <c r="E23" i="2" s="1"/>
  <c r="E15" i="3" s="1"/>
  <c r="L20" i="2"/>
  <c r="L23" i="2" s="1"/>
  <c r="L15" i="3" s="1"/>
  <c r="R20" i="2"/>
  <c r="R23" i="2" s="1"/>
  <c r="R15" i="3" s="1"/>
  <c r="D20" i="2"/>
  <c r="D23" i="2" s="1"/>
  <c r="D15" i="3" s="1"/>
  <c r="C23" i="2"/>
  <c r="Q20" i="2"/>
  <c r="Q23" i="2" s="1"/>
  <c r="Q15" i="3" s="1"/>
  <c r="S20" i="2"/>
  <c r="S23" i="2" s="1"/>
  <c r="S15" i="3" s="1"/>
  <c r="J20" i="2"/>
  <c r="J23" i="2" s="1"/>
  <c r="J15" i="3" s="1"/>
  <c r="M20" i="2"/>
  <c r="M23" i="2" s="1"/>
  <c r="M15" i="3" s="1"/>
  <c r="O20" i="2"/>
  <c r="O23" i="2" s="1"/>
  <c r="O15" i="3" s="1"/>
  <c r="G20" i="2"/>
  <c r="G23" i="2" s="1"/>
  <c r="G15" i="3" s="1"/>
  <c r="H20" i="2"/>
  <c r="H23" i="2" s="1"/>
  <c r="H15" i="3" s="1"/>
  <c r="P20" i="2"/>
  <c r="P23" i="2" s="1"/>
  <c r="P15" i="3" s="1"/>
  <c r="V20" i="2"/>
  <c r="V23" i="2" s="1"/>
  <c r="V15" i="3" s="1"/>
  <c r="W20" i="2"/>
  <c r="W23" i="2" s="1"/>
  <c r="W15" i="3" s="1"/>
  <c r="I23" i="2"/>
  <c r="I15" i="3" s="1"/>
  <c r="C9" i="4"/>
  <c r="O15" i="2"/>
  <c r="O17" i="2" s="1"/>
  <c r="O13" i="3" s="1"/>
  <c r="E15" i="2"/>
  <c r="E17" i="2" s="1"/>
  <c r="E13" i="3" s="1"/>
  <c r="W15" i="2"/>
  <c r="W17" i="2" s="1"/>
  <c r="W13" i="3" s="1"/>
  <c r="P15" i="2"/>
  <c r="P17" i="2" s="1"/>
  <c r="P13" i="3" s="1"/>
  <c r="I15" i="2"/>
  <c r="I17" i="2" s="1"/>
  <c r="I13" i="3" s="1"/>
  <c r="H15" i="2"/>
  <c r="H17" i="2" s="1"/>
  <c r="H13" i="3" s="1"/>
  <c r="V15" i="2"/>
  <c r="V17" i="2" s="1"/>
  <c r="V13" i="3" s="1"/>
  <c r="L15" i="2"/>
  <c r="L17" i="2" s="1"/>
  <c r="L13" i="3" s="1"/>
  <c r="F15" i="2"/>
  <c r="F17" i="2" s="1"/>
  <c r="F13" i="3" s="1"/>
  <c r="U15" i="2"/>
  <c r="U17" i="2" s="1"/>
  <c r="U13" i="3" s="1"/>
  <c r="M15" i="2"/>
  <c r="M17" i="2" s="1"/>
  <c r="M13" i="3" s="1"/>
  <c r="K15" i="2"/>
  <c r="K17" i="2" s="1"/>
  <c r="K13" i="3" s="1"/>
  <c r="G15" i="2"/>
  <c r="G17" i="2" s="1"/>
  <c r="G13" i="3" s="1"/>
  <c r="C17" i="2"/>
  <c r="D15" i="2"/>
  <c r="D17" i="2" s="1"/>
  <c r="D13" i="3" s="1"/>
  <c r="N15" i="2"/>
  <c r="N17" i="2" s="1"/>
  <c r="N13" i="3" s="1"/>
  <c r="T15" i="2"/>
  <c r="T17" i="2" s="1"/>
  <c r="T13" i="3" s="1"/>
  <c r="R17" i="2"/>
  <c r="R13" i="3" s="1"/>
  <c r="J15" i="2"/>
  <c r="J17" i="2" s="1"/>
  <c r="J13" i="3" s="1"/>
  <c r="Q15" i="2"/>
  <c r="Q17" i="2" s="1"/>
  <c r="Q13" i="3" s="1"/>
  <c r="N8" i="2"/>
  <c r="N11" i="2" s="1"/>
  <c r="N9" i="3" s="1"/>
  <c r="G8" i="2"/>
  <c r="G11" i="2" s="1"/>
  <c r="G9" i="3" s="1"/>
  <c r="F8" i="2"/>
  <c r="F11" i="2" s="1"/>
  <c r="F9" i="3" s="1"/>
  <c r="O8" i="2"/>
  <c r="O11" i="2" s="1"/>
  <c r="O9" i="3" s="1"/>
  <c r="H8" i="2"/>
  <c r="H11" i="2" s="1"/>
  <c r="H9" i="3" s="1"/>
  <c r="R8" i="2"/>
  <c r="R11" i="2" s="1"/>
  <c r="R9" i="3" s="1"/>
  <c r="S8" i="2"/>
  <c r="S11" i="2" s="1"/>
  <c r="S9" i="3" s="1"/>
  <c r="E8" i="2"/>
  <c r="E11" i="2" s="1"/>
  <c r="E9" i="3" s="1"/>
  <c r="I8" i="2"/>
  <c r="I11" i="2" s="1"/>
  <c r="I9" i="3" s="1"/>
  <c r="T8" i="2"/>
  <c r="T11" i="2" s="1"/>
  <c r="T9" i="3" s="1"/>
  <c r="J8" i="2"/>
  <c r="J11" i="2" s="1"/>
  <c r="J9" i="3" s="1"/>
  <c r="Q8" i="2"/>
  <c r="Q11" i="2" s="1"/>
  <c r="Q9" i="3" s="1"/>
  <c r="L8" i="2"/>
  <c r="L11" i="2" s="1"/>
  <c r="L9" i="3" s="1"/>
  <c r="U8" i="2"/>
  <c r="U11" i="2" s="1"/>
  <c r="U9" i="3" s="1"/>
  <c r="K8" i="2"/>
  <c r="K11" i="2" s="1"/>
  <c r="K9" i="3" s="1"/>
  <c r="V8" i="2"/>
  <c r="V11" i="2" s="1"/>
  <c r="V9" i="3" s="1"/>
  <c r="M8" i="2"/>
  <c r="M11" i="2" s="1"/>
  <c r="M9" i="3" s="1"/>
  <c r="W8" i="2"/>
  <c r="W11" i="2" s="1"/>
  <c r="W9" i="3" s="1"/>
  <c r="P8" i="2"/>
  <c r="P11" i="2" s="1"/>
  <c r="P9" i="3" s="1"/>
  <c r="D8" i="2"/>
  <c r="D11" i="2" s="1"/>
  <c r="D9" i="3" s="1"/>
  <c r="G3" i="2"/>
  <c r="G5" i="2" s="1"/>
  <c r="G12" i="3" s="1"/>
  <c r="N3" i="2"/>
  <c r="N5" i="2" s="1"/>
  <c r="N12" i="3" s="1"/>
  <c r="T3" i="2"/>
  <c r="T5" i="2" s="1"/>
  <c r="T12" i="3" s="1"/>
  <c r="V3" i="2"/>
  <c r="V5" i="2" s="1"/>
  <c r="V12" i="3" s="1"/>
  <c r="M3" i="2"/>
  <c r="M5" i="2" s="1"/>
  <c r="M12" i="3" s="1"/>
  <c r="R3" i="2"/>
  <c r="R5" i="2" s="1"/>
  <c r="R12" i="3" s="1"/>
  <c r="P3" i="2"/>
  <c r="P5" i="2" s="1"/>
  <c r="P12" i="3" s="1"/>
  <c r="I3" i="2"/>
  <c r="I5" i="2" s="1"/>
  <c r="I12" i="3" s="1"/>
  <c r="F3" i="2"/>
  <c r="F5" i="2" s="1"/>
  <c r="F12" i="3" s="1"/>
  <c r="H3" i="2"/>
  <c r="H5" i="2" s="1"/>
  <c r="H12" i="3" s="1"/>
  <c r="S3" i="2"/>
  <c r="S5" i="2" s="1"/>
  <c r="S12" i="3" s="1"/>
  <c r="L3" i="2"/>
  <c r="L5" i="2" s="1"/>
  <c r="L12" i="3" s="1"/>
  <c r="Q3" i="2"/>
  <c r="Q5" i="2" s="1"/>
  <c r="Q12" i="3" s="1"/>
  <c r="J3" i="2"/>
  <c r="J5" i="2" s="1"/>
  <c r="J12" i="3" s="1"/>
  <c r="W3" i="2"/>
  <c r="W5" i="2" s="1"/>
  <c r="W12" i="3" s="1"/>
  <c r="D3" i="2"/>
  <c r="D5" i="2" s="1"/>
  <c r="D12" i="3" s="1"/>
  <c r="K3" i="2"/>
  <c r="K5" i="2" s="1"/>
  <c r="K12" i="3" s="1"/>
  <c r="U3" i="2"/>
  <c r="U5" i="2" s="1"/>
  <c r="U12" i="3" s="1"/>
  <c r="O3" i="2"/>
  <c r="O5" i="2" s="1"/>
  <c r="O12" i="3" s="1"/>
  <c r="C5" i="2"/>
  <c r="E3" i="2"/>
  <c r="E5" i="2" s="1"/>
  <c r="E12" i="3" s="1"/>
  <c r="G29" i="3" l="1"/>
  <c r="G25" i="3"/>
  <c r="G24" i="3"/>
  <c r="G26" i="3"/>
  <c r="G28" i="3"/>
  <c r="G27" i="3"/>
</calcChain>
</file>

<file path=xl/sharedStrings.xml><?xml version="1.0" encoding="utf-8"?>
<sst xmlns="http://schemas.openxmlformats.org/spreadsheetml/2006/main" count="427" uniqueCount="103">
  <si>
    <t>Brand</t>
  </si>
  <si>
    <t>Name</t>
  </si>
  <si>
    <t>Harris Teeter</t>
  </si>
  <si>
    <t>Servings Per Container</t>
  </si>
  <si>
    <t>Serving Size</t>
  </si>
  <si>
    <t>Serving Size Unit</t>
  </si>
  <si>
    <t>Serving Size Grams</t>
  </si>
  <si>
    <t>Fillet</t>
  </si>
  <si>
    <t>Calories</t>
  </si>
  <si>
    <t>Total Fat Grams</t>
  </si>
  <si>
    <t>Total Carb Grams</t>
  </si>
  <si>
    <t>Protein Grams</t>
  </si>
  <si>
    <t>Saturated Fat Grams</t>
  </si>
  <si>
    <t>Polysaturated Fat Grams</t>
  </si>
  <si>
    <t>Monosaturated Fat Grams</t>
  </si>
  <si>
    <t>Cholesterol mg</t>
  </si>
  <si>
    <t>Sodium mg</t>
  </si>
  <si>
    <t>Vitamin D mcg</t>
  </si>
  <si>
    <t>Calcium mg</t>
  </si>
  <si>
    <t>Iron mg</t>
  </si>
  <si>
    <t>Potassium mg</t>
  </si>
  <si>
    <t>Chicken Breast</t>
  </si>
  <si>
    <t>ounces</t>
  </si>
  <si>
    <t>Fishermans Market Tail On Peeled &amp; Deveined Cooked Shrimp</t>
  </si>
  <si>
    <t>Pre-Washed Russet Potatoes</t>
  </si>
  <si>
    <t>Potato</t>
  </si>
  <si>
    <t>Dietary Fiber grams</t>
  </si>
  <si>
    <t>Total Sugars Grams</t>
  </si>
  <si>
    <t>Vitamin C mg</t>
  </si>
  <si>
    <t>Vitamin B6 mg</t>
  </si>
  <si>
    <t>Peanut Butter</t>
  </si>
  <si>
    <t>Tbsp</t>
  </si>
  <si>
    <t>Lower Sodium Bacon</t>
  </si>
  <si>
    <t>slices</t>
  </si>
  <si>
    <t>Eye Round Steak</t>
  </si>
  <si>
    <t>Grade A Large Egg</t>
  </si>
  <si>
    <t>egg</t>
  </si>
  <si>
    <t>All Purpose Flour</t>
  </si>
  <si>
    <t>cup</t>
  </si>
  <si>
    <t>Folic Acid mcg</t>
  </si>
  <si>
    <t>Niacin mg</t>
  </si>
  <si>
    <t>Thiamin mg</t>
  </si>
  <si>
    <t>Chicken Nuggets</t>
  </si>
  <si>
    <t>Ingredient</t>
  </si>
  <si>
    <t>Grams</t>
  </si>
  <si>
    <t>Total</t>
  </si>
  <si>
    <t>Everyday</t>
  </si>
  <si>
    <t>Day</t>
  </si>
  <si>
    <t>Goal</t>
  </si>
  <si>
    <t>Actual</t>
  </si>
  <si>
    <t>Colby Jack Cheese</t>
  </si>
  <si>
    <t>cubes</t>
  </si>
  <si>
    <t>Cubes</t>
  </si>
  <si>
    <t>Pounds</t>
  </si>
  <si>
    <t>Fried Shrimp</t>
  </si>
  <si>
    <t>Grams Selected</t>
  </si>
  <si>
    <t>Ratios</t>
  </si>
  <si>
    <t>Atlantic Skin-On Farm Raised Salmon</t>
  </si>
  <si>
    <t>Fried Shrimp 2</t>
  </si>
  <si>
    <t>Unit</t>
  </si>
  <si>
    <t>Slices</t>
  </si>
  <si>
    <t>Egg</t>
  </si>
  <si>
    <t>Cup</t>
  </si>
  <si>
    <t>Amount</t>
  </si>
  <si>
    <t>Chicken Nuggets 2</t>
  </si>
  <si>
    <t>Protein</t>
  </si>
  <si>
    <t>Calories min</t>
  </si>
  <si>
    <t>Calories Avg</t>
  </si>
  <si>
    <t>Calories max</t>
  </si>
  <si>
    <t>Range</t>
  </si>
  <si>
    <t>Protein min</t>
  </si>
  <si>
    <t>Protein max</t>
  </si>
  <si>
    <t>Protein Avg</t>
  </si>
  <si>
    <t>Seed</t>
  </si>
  <si>
    <t>4% Milkfat Small Curd Cottage Cheese</t>
  </si>
  <si>
    <t>Fun calories</t>
  </si>
  <si>
    <t>Brown Rice, Whole Grain Rice, Uncooked Rice</t>
  </si>
  <si>
    <t>Mahatma</t>
  </si>
  <si>
    <t>QTY</t>
  </si>
  <si>
    <t>Prot/Cal</t>
  </si>
  <si>
    <t>ibs</t>
  </si>
  <si>
    <t>goal</t>
  </si>
  <si>
    <t>Carbs</t>
  </si>
  <si>
    <t>min %</t>
  </si>
  <si>
    <t>max %</t>
  </si>
  <si>
    <t>min grams</t>
  </si>
  <si>
    <t>max grams</t>
  </si>
  <si>
    <t>now</t>
  </si>
  <si>
    <t>grams</t>
  </si>
  <si>
    <t>Fat Max</t>
  </si>
  <si>
    <t>Current</t>
  </si>
  <si>
    <t>wt</t>
  </si>
  <si>
    <t>(120 grams true 2/3)</t>
  </si>
  <si>
    <t>4 day</t>
  </si>
  <si>
    <t>pounds</t>
  </si>
  <si>
    <t>packages</t>
  </si>
  <si>
    <t>eggs</t>
  </si>
  <si>
    <t>Servings</t>
  </si>
  <si>
    <t>Sharp Cheddar</t>
  </si>
  <si>
    <t>inch cube</t>
  </si>
  <si>
    <t>Vitamin A mcg</t>
  </si>
  <si>
    <t>grams/ Day</t>
  </si>
  <si>
    <t>grams/ 4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</si>
</sst>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70" formatCode="0.000000"/>
    <numFmt numFmtId="172" formatCode="0.00\ &quot;lbs&quot;"/>
  </numFmts>
  <fonts count="5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1" fillId="2" borderId="1" xfId="1" applyNumberFormat="1" applyAlignment="1">
      <alignment horizontal="center" vertical="center"/>
    </xf>
    <xf numFmtId="1" fontId="1" fillId="2" borderId="1" xfId="1" applyNumberFormat="1"/>
    <xf numFmtId="0" fontId="2" fillId="3" borderId="2" xfId="2"/>
    <xf numFmtId="2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" fontId="1" fillId="2" borderId="1" xfId="1" applyNumberFormat="1" applyAlignment="1">
      <alignment horizontal="center" vertical="center" wrapText="1"/>
    </xf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2" borderId="1" xfId="1" applyAlignment="1">
      <alignment horizontal="center" vertical="center"/>
    </xf>
    <xf numFmtId="9" fontId="0" fillId="0" borderId="0" xfId="3" applyFont="1"/>
    <xf numFmtId="9" fontId="0" fillId="0" borderId="0" xfId="0" applyNumberFormat="1"/>
    <xf numFmtId="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2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/>
    </xf>
  </cellXfs>
  <cellStyles count="4">
    <cellStyle name="Input" xfId="1" builtinId="20"/>
    <cellStyle name="Normal" xfId="0" builtinId="0"/>
    <cellStyle name="Output" xfId="2" builtinId="21"/>
    <cellStyle name="Percent" xfId="3" builtinId="5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1"/>
  <sheetViews>
    <sheetView workbookViewId="0">
      <selection activeCell="A14" sqref="A14:Q14"/>
    </sheetView>
  </sheetViews>
  <sheetFormatPr defaultRowHeight="15" x14ac:dyDescent="0.25"/>
  <cols>
    <col min="1" max="1" width="12.42578125" bestFit="1" customWidth="1"/>
    <col min="2" max="2" width="23.140625" style="1" bestFit="1" customWidth="1"/>
    <col min="3" max="3" width="11.85546875" bestFit="1" customWidth="1"/>
    <col min="6" max="6" width="7.5703125" bestFit="1" customWidth="1"/>
    <col min="8" max="9" width="6.5703125" bestFit="1" customWidth="1"/>
    <col min="10" max="10" width="7.5703125" bestFit="1" customWidth="1"/>
    <col min="11" max="11" width="9.7109375" bestFit="1" customWidth="1"/>
    <col min="12" max="12" width="13.42578125" bestFit="1" customWidth="1"/>
    <col min="13" max="13" width="15" customWidth="1"/>
    <col min="14" max="14" width="11.28515625" customWidth="1"/>
    <col min="15" max="15" width="7.7109375" bestFit="1" customWidth="1"/>
    <col min="16" max="17" width="8" bestFit="1" customWidth="1"/>
    <col min="18" max="18" width="4.5703125" bestFit="1" customWidth="1"/>
    <col min="19" max="19" width="10.140625" bestFit="1" customWidth="1"/>
    <col min="20" max="20" width="7.42578125" bestFit="1" customWidth="1"/>
    <col min="21" max="21" width="6.7109375" bestFit="1" customWidth="1"/>
    <col min="22" max="23" width="8" bestFit="1" customWidth="1"/>
    <col min="24" max="24" width="5.140625" bestFit="1" customWidth="1"/>
    <col min="25" max="25" width="6.5703125" bestFit="1" customWidth="1"/>
    <col min="26" max="26" width="8.140625" bestFit="1" customWidth="1"/>
  </cols>
  <sheetData>
    <row r="1" spans="1:27" s="4" customFormat="1" ht="45" x14ac:dyDescent="0.25">
      <c r="A1" s="4" t="s">
        <v>0</v>
      </c>
      <c r="B1" s="4" t="s">
        <v>1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100</v>
      </c>
      <c r="N1" s="4" t="s">
        <v>15</v>
      </c>
      <c r="O1" s="4" t="s">
        <v>16</v>
      </c>
      <c r="P1" s="4" t="s">
        <v>17</v>
      </c>
      <c r="Q1" s="4" t="s">
        <v>18</v>
      </c>
      <c r="R1" s="4" t="s">
        <v>19</v>
      </c>
      <c r="S1" s="4" t="s">
        <v>20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39</v>
      </c>
      <c r="Y1" s="4" t="s">
        <v>40</v>
      </c>
      <c r="Z1" s="4" t="s">
        <v>41</v>
      </c>
      <c r="AA1" s="4" t="s">
        <v>79</v>
      </c>
    </row>
    <row r="2" spans="1:27" s="3" customFormat="1" ht="30" x14ac:dyDescent="0.25">
      <c r="A2" s="3" t="s">
        <v>2</v>
      </c>
      <c r="B2" s="4" t="s">
        <v>57</v>
      </c>
      <c r="C2" s="3">
        <v>1</v>
      </c>
      <c r="D2" s="3">
        <v>1</v>
      </c>
      <c r="E2" s="3" t="s">
        <v>7</v>
      </c>
      <c r="F2" s="3">
        <f>113*2.5</f>
        <v>282.5</v>
      </c>
      <c r="G2" s="3">
        <f>260*2.5</f>
        <v>650</v>
      </c>
      <c r="H2" s="3">
        <f>19*2.5</f>
        <v>47.5</v>
      </c>
      <c r="I2" s="3">
        <v>0</v>
      </c>
      <c r="J2" s="3">
        <f>23*2.5</f>
        <v>57.5</v>
      </c>
      <c r="K2" s="3">
        <f>2.5*2.5</f>
        <v>6.25</v>
      </c>
      <c r="N2" s="3">
        <f>65*2.5</f>
        <v>162.5</v>
      </c>
      <c r="O2" s="3">
        <f>35*2.5</f>
        <v>87.5</v>
      </c>
      <c r="P2" s="3">
        <f>8*2.5</f>
        <v>20</v>
      </c>
      <c r="Q2" s="3">
        <f>52*2.5</f>
        <v>130</v>
      </c>
      <c r="S2" s="3">
        <f>376*2.5</f>
        <v>940</v>
      </c>
      <c r="AA2" s="3">
        <f>J2/G2</f>
        <v>8.8461538461538466E-2</v>
      </c>
    </row>
    <row r="3" spans="1:27" s="3" customFormat="1" x14ac:dyDescent="0.25">
      <c r="A3" s="3" t="s">
        <v>2</v>
      </c>
      <c r="B3" s="4" t="s">
        <v>21</v>
      </c>
      <c r="C3" s="3">
        <v>1</v>
      </c>
      <c r="D3" s="3">
        <v>4</v>
      </c>
      <c r="E3" s="3" t="s">
        <v>22</v>
      </c>
      <c r="F3" s="3">
        <v>112</v>
      </c>
      <c r="G3" s="3">
        <v>110</v>
      </c>
      <c r="H3" s="3">
        <v>1</v>
      </c>
      <c r="I3" s="3">
        <v>0</v>
      </c>
      <c r="J3" s="3">
        <v>25</v>
      </c>
      <c r="N3" s="3">
        <v>80</v>
      </c>
      <c r="O3" s="3">
        <v>75</v>
      </c>
      <c r="R3" s="3">
        <v>0.36</v>
      </c>
      <c r="AA3" s="3">
        <f t="shared" ref="AA3:AA14" si="0">J3/G3</f>
        <v>0.22727272727272727</v>
      </c>
    </row>
    <row r="4" spans="1:27" s="3" customFormat="1" ht="45" x14ac:dyDescent="0.25">
      <c r="A4" s="3" t="s">
        <v>2</v>
      </c>
      <c r="B4" s="4" t="s">
        <v>23</v>
      </c>
      <c r="C4" s="3">
        <v>4</v>
      </c>
      <c r="D4" s="3">
        <v>3</v>
      </c>
      <c r="E4" s="3" t="s">
        <v>22</v>
      </c>
      <c r="F4" s="3">
        <v>85</v>
      </c>
      <c r="G4" s="3">
        <v>45</v>
      </c>
      <c r="H4" s="3">
        <v>0</v>
      </c>
      <c r="I4" s="3">
        <v>0</v>
      </c>
      <c r="J4" s="3">
        <v>11</v>
      </c>
      <c r="N4" s="3">
        <v>120</v>
      </c>
      <c r="O4" s="3">
        <v>400</v>
      </c>
      <c r="AA4" s="3">
        <f t="shared" si="0"/>
        <v>0.24444444444444444</v>
      </c>
    </row>
    <row r="5" spans="1:27" s="3" customFormat="1" ht="30" x14ac:dyDescent="0.25">
      <c r="A5" s="3" t="s">
        <v>2</v>
      </c>
      <c r="B5" s="4" t="s">
        <v>24</v>
      </c>
      <c r="C5" s="3">
        <v>15.3</v>
      </c>
      <c r="D5" s="3">
        <v>1</v>
      </c>
      <c r="E5" s="3" t="s">
        <v>25</v>
      </c>
      <c r="F5" s="3">
        <v>148</v>
      </c>
      <c r="G5" s="3">
        <v>110</v>
      </c>
      <c r="I5" s="3">
        <v>26</v>
      </c>
      <c r="J5" s="3">
        <v>3</v>
      </c>
      <c r="Q5" s="3">
        <v>20</v>
      </c>
      <c r="R5" s="3">
        <v>1.1000000000000001</v>
      </c>
      <c r="S5" s="3">
        <v>620</v>
      </c>
      <c r="T5" s="3">
        <v>2</v>
      </c>
      <c r="U5" s="3">
        <v>1</v>
      </c>
      <c r="V5" s="3">
        <v>26</v>
      </c>
      <c r="W5" s="3">
        <v>0.2</v>
      </c>
      <c r="AA5" s="3">
        <f t="shared" si="0"/>
        <v>2.7272727272727271E-2</v>
      </c>
    </row>
    <row r="6" spans="1:27" s="3" customFormat="1" x14ac:dyDescent="0.25">
      <c r="A6" s="3" t="s">
        <v>2</v>
      </c>
      <c r="B6" s="4" t="s">
        <v>30</v>
      </c>
      <c r="C6" s="3">
        <v>35</v>
      </c>
      <c r="D6" s="3">
        <v>2</v>
      </c>
      <c r="E6" s="3" t="s">
        <v>31</v>
      </c>
      <c r="F6" s="3">
        <v>32</v>
      </c>
      <c r="G6" s="3">
        <v>180</v>
      </c>
      <c r="H6" s="3">
        <v>15</v>
      </c>
      <c r="I6" s="3">
        <v>7</v>
      </c>
      <c r="J6" s="3">
        <v>7</v>
      </c>
      <c r="K6" s="3">
        <v>2.5</v>
      </c>
      <c r="O6" s="3">
        <v>150</v>
      </c>
      <c r="Q6" s="3">
        <v>30</v>
      </c>
      <c r="R6" s="3">
        <v>1</v>
      </c>
      <c r="S6" s="3">
        <v>210</v>
      </c>
      <c r="T6" s="3">
        <v>2</v>
      </c>
      <c r="U6" s="3">
        <v>4</v>
      </c>
      <c r="AA6" s="3">
        <f t="shared" si="0"/>
        <v>3.888888888888889E-2</v>
      </c>
    </row>
    <row r="7" spans="1:27" s="3" customFormat="1" x14ac:dyDescent="0.25">
      <c r="A7" s="3" t="s">
        <v>2</v>
      </c>
      <c r="B7" s="4" t="s">
        <v>32</v>
      </c>
      <c r="C7" s="3">
        <v>7</v>
      </c>
      <c r="D7" s="3">
        <v>2</v>
      </c>
      <c r="E7" s="3" t="s">
        <v>33</v>
      </c>
      <c r="F7" s="3">
        <v>15</v>
      </c>
      <c r="G7" s="3">
        <v>80</v>
      </c>
      <c r="H7" s="3">
        <v>6</v>
      </c>
      <c r="I7" s="3">
        <v>0</v>
      </c>
      <c r="J7" s="3">
        <v>4</v>
      </c>
      <c r="K7" s="3">
        <v>2.5</v>
      </c>
      <c r="N7" s="3">
        <v>15</v>
      </c>
      <c r="O7" s="3">
        <v>180</v>
      </c>
      <c r="R7" s="3">
        <v>0.36</v>
      </c>
      <c r="AA7" s="3">
        <f t="shared" si="0"/>
        <v>0.05</v>
      </c>
    </row>
    <row r="8" spans="1:27" s="3" customFormat="1" x14ac:dyDescent="0.25">
      <c r="A8" s="3" t="s">
        <v>2</v>
      </c>
      <c r="B8" s="4" t="s">
        <v>34</v>
      </c>
      <c r="C8" s="3">
        <v>1</v>
      </c>
      <c r="D8" s="3">
        <v>4</v>
      </c>
      <c r="E8" s="3" t="s">
        <v>22</v>
      </c>
      <c r="F8" s="3">
        <v>112</v>
      </c>
      <c r="G8" s="3">
        <v>151</v>
      </c>
      <c r="H8" s="3">
        <v>7</v>
      </c>
      <c r="I8" s="3">
        <v>0</v>
      </c>
      <c r="J8" s="3">
        <v>22</v>
      </c>
      <c r="R8" s="3">
        <v>1.44</v>
      </c>
      <c r="AA8" s="3">
        <f t="shared" si="0"/>
        <v>0.14569536423841059</v>
      </c>
    </row>
    <row r="9" spans="1:27" s="3" customFormat="1" x14ac:dyDescent="0.25">
      <c r="A9" s="3" t="s">
        <v>2</v>
      </c>
      <c r="B9" s="4" t="s">
        <v>35</v>
      </c>
      <c r="C9" s="3">
        <v>12</v>
      </c>
      <c r="D9" s="3">
        <v>1</v>
      </c>
      <c r="E9" s="3" t="s">
        <v>36</v>
      </c>
      <c r="F9" s="3">
        <v>50</v>
      </c>
      <c r="G9" s="3">
        <v>70</v>
      </c>
      <c r="H9" s="3">
        <v>5</v>
      </c>
      <c r="I9" s="3">
        <v>0</v>
      </c>
      <c r="J9" s="3">
        <v>6</v>
      </c>
      <c r="K9" s="3">
        <v>1.5</v>
      </c>
      <c r="N9" s="3">
        <v>185</v>
      </c>
      <c r="O9" s="3">
        <v>70</v>
      </c>
      <c r="P9" s="3">
        <v>1</v>
      </c>
      <c r="Q9" s="3">
        <v>30</v>
      </c>
      <c r="R9" s="3">
        <v>0.9</v>
      </c>
      <c r="AA9" s="3">
        <f t="shared" si="0"/>
        <v>8.5714285714285715E-2</v>
      </c>
    </row>
    <row r="10" spans="1:27" s="3" customFormat="1" x14ac:dyDescent="0.25">
      <c r="A10" s="3" t="s">
        <v>2</v>
      </c>
      <c r="B10" s="4" t="s">
        <v>37</v>
      </c>
      <c r="C10" s="3">
        <v>30</v>
      </c>
      <c r="D10" s="3">
        <v>0.25</v>
      </c>
      <c r="E10" s="3" t="s">
        <v>38</v>
      </c>
      <c r="F10" s="3">
        <v>30</v>
      </c>
      <c r="G10" s="3">
        <v>110</v>
      </c>
      <c r="H10" s="3">
        <v>0</v>
      </c>
      <c r="I10" s="3">
        <v>23</v>
      </c>
      <c r="J10" s="3">
        <v>2</v>
      </c>
      <c r="R10" s="3">
        <v>1.3</v>
      </c>
      <c r="S10" s="3">
        <v>30</v>
      </c>
      <c r="X10" s="3">
        <v>50</v>
      </c>
      <c r="Y10" s="3">
        <v>1.4</v>
      </c>
      <c r="Z10" s="3">
        <v>0.22</v>
      </c>
      <c r="AA10" s="3">
        <f t="shared" si="0"/>
        <v>1.8181818181818181E-2</v>
      </c>
    </row>
    <row r="11" spans="1:27" s="3" customFormat="1" x14ac:dyDescent="0.25">
      <c r="A11" s="3" t="s">
        <v>2</v>
      </c>
      <c r="B11" s="4" t="s">
        <v>50</v>
      </c>
      <c r="C11" s="3">
        <v>8</v>
      </c>
      <c r="D11" s="3">
        <v>6</v>
      </c>
      <c r="E11" s="3" t="s">
        <v>51</v>
      </c>
      <c r="F11" s="3">
        <v>28</v>
      </c>
      <c r="G11" s="3">
        <v>110</v>
      </c>
      <c r="H11" s="3">
        <v>9</v>
      </c>
      <c r="I11" s="3">
        <v>1</v>
      </c>
      <c r="J11" s="3">
        <v>7</v>
      </c>
      <c r="K11" s="3">
        <v>5</v>
      </c>
      <c r="N11" s="3">
        <v>30</v>
      </c>
      <c r="O11" s="3">
        <v>170</v>
      </c>
      <c r="P11" s="3">
        <v>0.2</v>
      </c>
      <c r="Q11" s="3">
        <v>200</v>
      </c>
      <c r="R11" s="3">
        <v>0.2</v>
      </c>
      <c r="S11" s="3">
        <v>30</v>
      </c>
      <c r="AA11" s="3">
        <f t="shared" si="0"/>
        <v>6.363636363636363E-2</v>
      </c>
    </row>
    <row r="12" spans="1:27" s="3" customFormat="1" ht="30" x14ac:dyDescent="0.25">
      <c r="A12" s="3" t="s">
        <v>2</v>
      </c>
      <c r="B12" s="4" t="s">
        <v>74</v>
      </c>
      <c r="C12" s="3">
        <v>4</v>
      </c>
      <c r="D12" s="3">
        <v>0.5</v>
      </c>
      <c r="E12" s="3" t="s">
        <v>38</v>
      </c>
      <c r="F12" s="3">
        <v>113</v>
      </c>
      <c r="G12" s="3">
        <v>110</v>
      </c>
      <c r="H12" s="3">
        <v>5</v>
      </c>
      <c r="I12" s="3">
        <v>5</v>
      </c>
      <c r="J12" s="3">
        <v>12</v>
      </c>
      <c r="K12" s="3">
        <v>3</v>
      </c>
      <c r="N12" s="3">
        <v>25</v>
      </c>
      <c r="O12" s="3">
        <v>410</v>
      </c>
      <c r="Q12" s="3">
        <v>104</v>
      </c>
      <c r="S12" s="3">
        <v>188</v>
      </c>
      <c r="U12" s="3">
        <v>4</v>
      </c>
      <c r="AA12" s="3">
        <f t="shared" si="0"/>
        <v>0.10909090909090909</v>
      </c>
    </row>
    <row r="13" spans="1:27" s="3" customFormat="1" ht="45" x14ac:dyDescent="0.25">
      <c r="A13" s="3" t="s">
        <v>77</v>
      </c>
      <c r="B13" s="4" t="s">
        <v>76</v>
      </c>
      <c r="C13" s="3">
        <v>10</v>
      </c>
      <c r="D13" s="3">
        <v>0.25</v>
      </c>
      <c r="E13" s="3" t="s">
        <v>38</v>
      </c>
      <c r="F13" s="3">
        <v>45</v>
      </c>
      <c r="G13" s="3">
        <v>170</v>
      </c>
      <c r="H13" s="3">
        <v>1.5</v>
      </c>
      <c r="I13" s="3">
        <v>34</v>
      </c>
      <c r="J13" s="3">
        <v>3</v>
      </c>
      <c r="R13" s="3">
        <v>1</v>
      </c>
      <c r="S13" s="3">
        <v>115</v>
      </c>
      <c r="T13" s="3">
        <v>2</v>
      </c>
      <c r="AA13" s="3">
        <f t="shared" si="0"/>
        <v>1.7647058823529412E-2</v>
      </c>
    </row>
    <row r="14" spans="1:27" s="3" customFormat="1" x14ac:dyDescent="0.25">
      <c r="A14" s="3" t="s">
        <v>2</v>
      </c>
      <c r="B14" s="4" t="s">
        <v>98</v>
      </c>
      <c r="C14" s="3">
        <v>8</v>
      </c>
      <c r="D14" s="3">
        <v>1</v>
      </c>
      <c r="E14" s="3" t="s">
        <v>99</v>
      </c>
      <c r="F14" s="3">
        <v>28</v>
      </c>
      <c r="G14" s="3">
        <v>110</v>
      </c>
      <c r="H14" s="3">
        <v>9</v>
      </c>
      <c r="I14" s="3">
        <v>0</v>
      </c>
      <c r="J14" s="3">
        <v>7</v>
      </c>
      <c r="K14" s="3">
        <v>6</v>
      </c>
      <c r="M14" s="3">
        <v>90</v>
      </c>
      <c r="N14" s="3">
        <v>30</v>
      </c>
      <c r="O14" s="3">
        <v>180</v>
      </c>
      <c r="Q14" s="3">
        <v>195</v>
      </c>
      <c r="AA14" s="3">
        <f t="shared" si="0"/>
        <v>6.363636363636363E-2</v>
      </c>
    </row>
    <row r="15" spans="1:27" s="3" customFormat="1" x14ac:dyDescent="0.25">
      <c r="B15" s="4"/>
    </row>
    <row r="16" spans="1:27" s="3" customFormat="1" x14ac:dyDescent="0.25">
      <c r="B16" s="4"/>
    </row>
    <row r="17" spans="2:2" s="3" customFormat="1" x14ac:dyDescent="0.25">
      <c r="B17" s="4"/>
    </row>
    <row r="18" spans="2:2" s="3" customFormat="1" x14ac:dyDescent="0.25">
      <c r="B18" s="4"/>
    </row>
    <row r="19" spans="2:2" s="3" customFormat="1" x14ac:dyDescent="0.25">
      <c r="B19" s="4"/>
    </row>
    <row r="20" spans="2:2" s="3" customFormat="1" x14ac:dyDescent="0.25">
      <c r="B20" s="4"/>
    </row>
    <row r="21" spans="2:2" s="3" customFormat="1" x14ac:dyDescent="0.25">
      <c r="B21" s="4"/>
    </row>
  </sheetData>
  <conditionalFormatting sqref="AA2:A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2EF93-CB9D-4458-978E-A59758CBAC74}">
  <dimension ref="A1:AE23"/>
  <sheetViews>
    <sheetView workbookViewId="0">
      <selection activeCell="F27" sqref="F27"/>
    </sheetView>
  </sheetViews>
  <sheetFormatPr defaultRowHeight="15" x14ac:dyDescent="0.25"/>
  <cols>
    <col min="1" max="1" width="15.85546875" bestFit="1" customWidth="1"/>
    <col min="2" max="2" width="10.28515625" style="2" bestFit="1" customWidth="1"/>
    <col min="3" max="3" width="11.5703125" bestFit="1" customWidth="1"/>
    <col min="4" max="4" width="8.140625" bestFit="1" customWidth="1"/>
    <col min="5" max="5" width="8.5703125" bestFit="1" customWidth="1"/>
    <col min="6" max="6" width="6.5703125" bestFit="1" customWidth="1"/>
    <col min="7" max="7" width="7.5703125" bestFit="1" customWidth="1"/>
    <col min="8" max="8" width="8.42578125" bestFit="1" customWidth="1"/>
    <col min="9" max="9" width="8.85546875" bestFit="1" customWidth="1"/>
    <col min="10" max="10" width="8.7109375" bestFit="1" customWidth="1"/>
    <col min="11" max="11" width="8.85546875" bestFit="1" customWidth="1"/>
    <col min="12" max="12" width="7.7109375" bestFit="1" customWidth="1"/>
    <col min="13" max="14" width="8" bestFit="1" customWidth="1"/>
    <col min="15" max="15" width="7.7109375" bestFit="1" customWidth="1"/>
    <col min="16" max="16" width="8.42578125" bestFit="1" customWidth="1"/>
    <col min="17" max="17" width="7.42578125" bestFit="1" customWidth="1"/>
    <col min="18" max="18" width="6.7109375" bestFit="1" customWidth="1"/>
    <col min="19" max="20" width="8" bestFit="1" customWidth="1"/>
    <col min="21" max="21" width="8.85546875" bestFit="1" customWidth="1"/>
    <col min="22" max="22" width="6.5703125" bestFit="1" customWidth="1"/>
    <col min="23" max="23" width="8.140625" bestFit="1" customWidth="1"/>
  </cols>
  <sheetData>
    <row r="1" spans="1:31" s="4" customFormat="1" ht="60" x14ac:dyDescent="0.25">
      <c r="A1" s="4" t="s">
        <v>1</v>
      </c>
      <c r="B1" s="4" t="s">
        <v>43</v>
      </c>
      <c r="C1" s="4" t="s">
        <v>55</v>
      </c>
      <c r="D1" s="4" t="str">
        <f>'All Facts'!G1</f>
        <v>Calories</v>
      </c>
      <c r="E1" s="4" t="str">
        <f>'All Facts'!H1</f>
        <v>Total Fat Grams</v>
      </c>
      <c r="F1" s="4" t="str">
        <f>'All Facts'!I1</f>
        <v>Total Carb Grams</v>
      </c>
      <c r="G1" s="4" t="str">
        <f>'All Facts'!J1</f>
        <v>Protein Grams</v>
      </c>
      <c r="H1" s="4" t="str">
        <f>'All Facts'!K1</f>
        <v>Saturated Fat Grams</v>
      </c>
      <c r="I1" s="4" t="str">
        <f>'All Facts'!L1</f>
        <v>Polysaturated Fat Grams</v>
      </c>
      <c r="J1" s="4" t="str">
        <f>'All Facts'!M1</f>
        <v>Vitamin A mcg</v>
      </c>
      <c r="K1" s="4" t="str">
        <f>'All Facts'!N1</f>
        <v>Cholesterol mg</v>
      </c>
      <c r="L1" s="4" t="str">
        <f>'All Facts'!O1</f>
        <v>Sodium mg</v>
      </c>
      <c r="M1" s="4" t="str">
        <f>'All Facts'!P1</f>
        <v>Vitamin D mcg</v>
      </c>
      <c r="N1" s="4" t="str">
        <f>'All Facts'!Q1</f>
        <v>Calcium mg</v>
      </c>
      <c r="O1" s="4" t="str">
        <f>'All Facts'!R1</f>
        <v>Iron mg</v>
      </c>
      <c r="P1" s="4" t="str">
        <f>'All Facts'!S1</f>
        <v>Potassium mg</v>
      </c>
      <c r="Q1" s="4" t="str">
        <f>'All Facts'!T1</f>
        <v>Dietary Fiber grams</v>
      </c>
      <c r="R1" s="4" t="str">
        <f>'All Facts'!U1</f>
        <v>Total Sugars Grams</v>
      </c>
      <c r="S1" s="4" t="str">
        <f>'All Facts'!V1</f>
        <v>Vitamin C mg</v>
      </c>
      <c r="T1" s="4" t="str">
        <f>'All Facts'!W1</f>
        <v>Vitamin B6 mg</v>
      </c>
      <c r="U1" s="4" t="str">
        <f>'All Facts'!X1</f>
        <v>Folic Acid mcg</v>
      </c>
      <c r="V1" s="4" t="str">
        <f>'All Facts'!Y1</f>
        <v>Niacin mg</v>
      </c>
      <c r="W1" s="4" t="str">
        <f>'All Facts'!Z1</f>
        <v>Thiamin mg</v>
      </c>
      <c r="AA1" t="s">
        <v>56</v>
      </c>
      <c r="AB1" s="2"/>
      <c r="AC1" t="s">
        <v>44</v>
      </c>
      <c r="AD1"/>
      <c r="AE1" t="s">
        <v>44</v>
      </c>
    </row>
    <row r="2" spans="1:31" s="4" customFormat="1" ht="30" x14ac:dyDescent="0.25">
      <c r="A2" s="4" t="s">
        <v>42</v>
      </c>
      <c r="B2" s="4" t="s">
        <v>35</v>
      </c>
      <c r="C2" s="4">
        <f>MAX(MROUND(AC2/AE2*C4,AC2),50)</f>
        <v>100</v>
      </c>
      <c r="D2" s="4">
        <f>INDEX('All Facts'!G:G,MATCH(Recipie!$B2,'All Facts'!$B:$B,0),1)/INDEX('All Facts'!$F:$F,MATCH(Recipie!$B2,'All Facts'!$B:$B,0),1)*$C2</f>
        <v>140</v>
      </c>
      <c r="E2" s="4">
        <f>INDEX('All Facts'!H:H,MATCH(Recipie!$B2,'All Facts'!$B:$B,0),1)/INDEX('All Facts'!$F:$F,MATCH(Recipie!$B2,'All Facts'!$B:$B,0),1)*$C2</f>
        <v>10</v>
      </c>
      <c r="F2" s="4">
        <f>INDEX('All Facts'!I:I,MATCH(Recipie!$B2,'All Facts'!$B:$B,0),1)/INDEX('All Facts'!$F:$F,MATCH(Recipie!$B2,'All Facts'!$B:$B,0),1)*$C2</f>
        <v>0</v>
      </c>
      <c r="G2" s="4">
        <f>INDEX('All Facts'!J:J,MATCH(Recipie!$B2,'All Facts'!$B:$B,0),1)/INDEX('All Facts'!$F:$F,MATCH(Recipie!$B2,'All Facts'!$B:$B,0),1)*$C2</f>
        <v>12</v>
      </c>
      <c r="H2" s="4">
        <f>INDEX('All Facts'!K:K,MATCH(Recipie!$B2,'All Facts'!$B:$B,0),1)/INDEX('All Facts'!$F:$F,MATCH(Recipie!$B2,'All Facts'!$B:$B,0),1)*$C2</f>
        <v>3</v>
      </c>
      <c r="I2" s="4">
        <f>INDEX('All Facts'!L:L,MATCH(Recipie!$B2,'All Facts'!$B:$B,0),1)/INDEX('All Facts'!$F:$F,MATCH(Recipie!$B2,'All Facts'!$B:$B,0),1)*$C2</f>
        <v>0</v>
      </c>
      <c r="J2" s="4">
        <f>INDEX('All Facts'!M:M,MATCH(Recipie!$B2,'All Facts'!$B:$B,0),1)/INDEX('All Facts'!$F:$F,MATCH(Recipie!$B2,'All Facts'!$B:$B,0),1)*$C2</f>
        <v>0</v>
      </c>
      <c r="K2" s="4">
        <f>INDEX('All Facts'!N:N,MATCH(Recipie!$B2,'All Facts'!$B:$B,0),1)/INDEX('All Facts'!$F:$F,MATCH(Recipie!$B2,'All Facts'!$B:$B,0),1)*$C2</f>
        <v>370</v>
      </c>
      <c r="L2" s="4">
        <f>INDEX('All Facts'!O:O,MATCH(Recipie!$B2,'All Facts'!$B:$B,0),1)/INDEX('All Facts'!$F:$F,MATCH(Recipie!$B2,'All Facts'!$B:$B,0),1)*$C2</f>
        <v>140</v>
      </c>
      <c r="M2" s="4">
        <f>INDEX('All Facts'!P:P,MATCH(Recipie!$B2,'All Facts'!$B:$B,0),1)/INDEX('All Facts'!$F:$F,MATCH(Recipie!$B2,'All Facts'!$B:$B,0),1)*$C2</f>
        <v>2</v>
      </c>
      <c r="N2" s="4">
        <f>INDEX('All Facts'!Q:Q,MATCH(Recipie!$B2,'All Facts'!$B:$B,0),1)/INDEX('All Facts'!$F:$F,MATCH(Recipie!$B2,'All Facts'!$B:$B,0),1)*$C2</f>
        <v>60</v>
      </c>
      <c r="O2" s="4">
        <f>INDEX('All Facts'!R:R,MATCH(Recipie!$B2,'All Facts'!$B:$B,0),1)/INDEX('All Facts'!$F:$F,MATCH(Recipie!$B2,'All Facts'!$B:$B,0),1)*$C2</f>
        <v>1.8000000000000003</v>
      </c>
      <c r="P2" s="4">
        <f>INDEX('All Facts'!S:S,MATCH(Recipie!$B2,'All Facts'!$B:$B,0),1)/INDEX('All Facts'!$F:$F,MATCH(Recipie!$B2,'All Facts'!$B:$B,0),1)*$C2</f>
        <v>0</v>
      </c>
      <c r="Q2" s="4">
        <f>INDEX('All Facts'!T:T,MATCH(Recipie!$B2,'All Facts'!$B:$B,0),1)/INDEX('All Facts'!$F:$F,MATCH(Recipie!$B2,'All Facts'!$B:$B,0),1)*$C2</f>
        <v>0</v>
      </c>
      <c r="R2" s="4">
        <f>INDEX('All Facts'!U:U,MATCH(Recipie!$B2,'All Facts'!$B:$B,0),1)/INDEX('All Facts'!$F:$F,MATCH(Recipie!$B2,'All Facts'!$B:$B,0),1)*$C2</f>
        <v>0</v>
      </c>
      <c r="S2" s="4">
        <f>INDEX('All Facts'!V:V,MATCH(Recipie!$B2,'All Facts'!$B:$B,0),1)/INDEX('All Facts'!$F:$F,MATCH(Recipie!$B2,'All Facts'!$B:$B,0),1)*$C2</f>
        <v>0</v>
      </c>
      <c r="T2" s="4">
        <f>INDEX('All Facts'!W:W,MATCH(Recipie!$B2,'All Facts'!$B:$B,0),1)/INDEX('All Facts'!$F:$F,MATCH(Recipie!$B2,'All Facts'!$B:$B,0),1)*$C2</f>
        <v>0</v>
      </c>
      <c r="U2" s="4">
        <f>INDEX('All Facts'!X:X,MATCH(Recipie!$B2,'All Facts'!$B:$B,0),1)/INDEX('All Facts'!$F:$F,MATCH(Recipie!$B2,'All Facts'!$B:$B,0),1)*$C2</f>
        <v>0</v>
      </c>
      <c r="V2" s="4">
        <f>INDEX('All Facts'!Y:Y,MATCH(Recipie!$B2,'All Facts'!$B:$B,0),1)/INDEX('All Facts'!$F:$F,MATCH(Recipie!$B2,'All Facts'!$B:$B,0),1)*$C2</f>
        <v>0</v>
      </c>
      <c r="W2" s="4">
        <f>INDEX('All Facts'!Z:Z,MATCH(Recipie!$B2,'All Facts'!$B:$B,0),1)/INDEX('All Facts'!$F:$F,MATCH(Recipie!$B2,'All Facts'!$B:$B,0),1)*$C2</f>
        <v>0</v>
      </c>
      <c r="AA2" s="4" t="s">
        <v>42</v>
      </c>
      <c r="AB2" s="2" t="s">
        <v>35</v>
      </c>
      <c r="AC2">
        <v>50</v>
      </c>
      <c r="AD2" s="4" t="s">
        <v>21</v>
      </c>
      <c r="AE2">
        <v>450</v>
      </c>
    </row>
    <row r="3" spans="1:31" s="4" customFormat="1" ht="45" x14ac:dyDescent="0.25">
      <c r="A3" s="4" t="s">
        <v>42</v>
      </c>
      <c r="B3" s="4" t="s">
        <v>37</v>
      </c>
      <c r="C3" s="10">
        <f>AC3/AE3*C4</f>
        <v>91.431250339980821</v>
      </c>
      <c r="D3" s="4">
        <f>INDEX('All Facts'!G:G,MATCH(Recipie!$B3,'All Facts'!$B:$B,0),1)/INDEX('All Facts'!$F:$F,MATCH(Recipie!$B3,'All Facts'!$B:$B,0),1)*$C3</f>
        <v>335.247917913263</v>
      </c>
      <c r="E3" s="4">
        <f>INDEX('All Facts'!H:H,MATCH(Recipie!$B3,'All Facts'!$B:$B,0),1)/INDEX('All Facts'!$F:$F,MATCH(Recipie!$B3,'All Facts'!$B:$B,0),1)*$C3</f>
        <v>0</v>
      </c>
      <c r="F3" s="4">
        <f>INDEX('All Facts'!I:I,MATCH(Recipie!$B3,'All Facts'!$B:$B,0),1)/INDEX('All Facts'!$F:$F,MATCH(Recipie!$B3,'All Facts'!$B:$B,0),1)*$C3</f>
        <v>70.097291927318636</v>
      </c>
      <c r="G3" s="4">
        <f>INDEX('All Facts'!J:J,MATCH(Recipie!$B3,'All Facts'!$B:$B,0),1)/INDEX('All Facts'!$F:$F,MATCH(Recipie!$B3,'All Facts'!$B:$B,0),1)*$C3</f>
        <v>6.0954166893320547</v>
      </c>
      <c r="H3" s="4">
        <f>INDEX('All Facts'!K:K,MATCH(Recipie!$B3,'All Facts'!$B:$B,0),1)/INDEX('All Facts'!$F:$F,MATCH(Recipie!$B3,'All Facts'!$B:$B,0),1)*$C3</f>
        <v>0</v>
      </c>
      <c r="I3" s="4">
        <f>INDEX('All Facts'!L:L,MATCH(Recipie!$B3,'All Facts'!$B:$B,0),1)/INDEX('All Facts'!$F:$F,MATCH(Recipie!$B3,'All Facts'!$B:$B,0),1)*$C3</f>
        <v>0</v>
      </c>
      <c r="J3" s="4">
        <f>INDEX('All Facts'!M:M,MATCH(Recipie!$B3,'All Facts'!$B:$B,0),1)/INDEX('All Facts'!$F:$F,MATCH(Recipie!$B3,'All Facts'!$B:$B,0),1)*$C3</f>
        <v>0</v>
      </c>
      <c r="K3" s="4">
        <f>INDEX('All Facts'!N:N,MATCH(Recipie!$B3,'All Facts'!$B:$B,0),1)/INDEX('All Facts'!$F:$F,MATCH(Recipie!$B3,'All Facts'!$B:$B,0),1)*$C3</f>
        <v>0</v>
      </c>
      <c r="L3" s="4">
        <f>INDEX('All Facts'!O:O,MATCH(Recipie!$B3,'All Facts'!$B:$B,0),1)/INDEX('All Facts'!$F:$F,MATCH(Recipie!$B3,'All Facts'!$B:$B,0),1)*$C3</f>
        <v>0</v>
      </c>
      <c r="M3" s="4">
        <f>INDEX('All Facts'!P:P,MATCH(Recipie!$B3,'All Facts'!$B:$B,0),1)/INDEX('All Facts'!$F:$F,MATCH(Recipie!$B3,'All Facts'!$B:$B,0),1)*$C3</f>
        <v>0</v>
      </c>
      <c r="N3" s="4">
        <f>INDEX('All Facts'!Q:Q,MATCH(Recipie!$B3,'All Facts'!$B:$B,0),1)/INDEX('All Facts'!$F:$F,MATCH(Recipie!$B3,'All Facts'!$B:$B,0),1)*$C3</f>
        <v>0</v>
      </c>
      <c r="O3" s="4">
        <f>INDEX('All Facts'!R:R,MATCH(Recipie!$B3,'All Facts'!$B:$B,0),1)/INDEX('All Facts'!$F:$F,MATCH(Recipie!$B3,'All Facts'!$B:$B,0),1)*$C3</f>
        <v>3.9620208480658357</v>
      </c>
      <c r="P3" s="4">
        <f>INDEX('All Facts'!S:S,MATCH(Recipie!$B3,'All Facts'!$B:$B,0),1)/INDEX('All Facts'!$F:$F,MATCH(Recipie!$B3,'All Facts'!$B:$B,0),1)*$C3</f>
        <v>91.431250339980821</v>
      </c>
      <c r="Q3" s="4">
        <f>INDEX('All Facts'!T:T,MATCH(Recipie!$B3,'All Facts'!$B:$B,0),1)/INDEX('All Facts'!$F:$F,MATCH(Recipie!$B3,'All Facts'!$B:$B,0),1)*$C3</f>
        <v>0</v>
      </c>
      <c r="R3" s="4">
        <f>INDEX('All Facts'!U:U,MATCH(Recipie!$B3,'All Facts'!$B:$B,0),1)/INDEX('All Facts'!$F:$F,MATCH(Recipie!$B3,'All Facts'!$B:$B,0),1)*$C3</f>
        <v>0</v>
      </c>
      <c r="S3" s="4">
        <f>INDEX('All Facts'!V:V,MATCH(Recipie!$B3,'All Facts'!$B:$B,0),1)/INDEX('All Facts'!$F:$F,MATCH(Recipie!$B3,'All Facts'!$B:$B,0),1)*$C3</f>
        <v>0</v>
      </c>
      <c r="T3" s="4">
        <f>INDEX('All Facts'!W:W,MATCH(Recipie!$B3,'All Facts'!$B:$B,0),1)/INDEX('All Facts'!$F:$F,MATCH(Recipie!$B3,'All Facts'!$B:$B,0),1)*$C3</f>
        <v>0</v>
      </c>
      <c r="U3" s="4">
        <f>INDEX('All Facts'!X:X,MATCH(Recipie!$B3,'All Facts'!$B:$B,0),1)/INDEX('All Facts'!$F:$F,MATCH(Recipie!$B3,'All Facts'!$B:$B,0),1)*$C3</f>
        <v>152.38541723330138</v>
      </c>
      <c r="V3" s="4">
        <f>INDEX('All Facts'!Y:Y,MATCH(Recipie!$B3,'All Facts'!$B:$B,0),1)/INDEX('All Facts'!$F:$F,MATCH(Recipie!$B3,'All Facts'!$B:$B,0),1)*$C3</f>
        <v>4.2667916825324381</v>
      </c>
      <c r="W3" s="4">
        <f>INDEX('All Facts'!Z:Z,MATCH(Recipie!$B3,'All Facts'!$B:$B,0),1)/INDEX('All Facts'!$F:$F,MATCH(Recipie!$B3,'All Facts'!$B:$B,0),1)*$C3</f>
        <v>0.67049583582652605</v>
      </c>
      <c r="AA3" s="4" t="s">
        <v>42</v>
      </c>
      <c r="AB3" s="2" t="s">
        <v>37</v>
      </c>
      <c r="AC3">
        <v>60</v>
      </c>
      <c r="AD3" s="4" t="s">
        <v>21</v>
      </c>
      <c r="AE3">
        <v>560</v>
      </c>
    </row>
    <row r="4" spans="1:31" s="4" customFormat="1" ht="30" x14ac:dyDescent="0.25">
      <c r="A4" s="4" t="s">
        <v>42</v>
      </c>
      <c r="B4" s="4" t="s">
        <v>21</v>
      </c>
      <c r="C4" s="11">
        <f>Solver!C12</f>
        <v>853.35833650648772</v>
      </c>
      <c r="D4" s="4">
        <f>INDEX('All Facts'!G:G,MATCH(Recipie!$B4,'All Facts'!$B:$B,0),1)/INDEX('All Facts'!$F:$F,MATCH(Recipie!$B4,'All Facts'!$B:$B,0),1)*$C4</f>
        <v>838.11979478315754</v>
      </c>
      <c r="E4" s="4">
        <f>INDEX('All Facts'!H:H,MATCH(Recipie!$B4,'All Facts'!$B:$B,0),1)/INDEX('All Facts'!$F:$F,MATCH(Recipie!$B4,'All Facts'!$B:$B,0),1)*$C4</f>
        <v>7.6192708616650684</v>
      </c>
      <c r="F4" s="4">
        <f>INDEX('All Facts'!I:I,MATCH(Recipie!$B4,'All Facts'!$B:$B,0),1)/INDEX('All Facts'!$F:$F,MATCH(Recipie!$B4,'All Facts'!$B:$B,0),1)*$C4</f>
        <v>0</v>
      </c>
      <c r="G4" s="4">
        <f>INDEX('All Facts'!J:J,MATCH(Recipie!$B4,'All Facts'!$B:$B,0),1)/INDEX('All Facts'!$F:$F,MATCH(Recipie!$B4,'All Facts'!$B:$B,0),1)*$C4</f>
        <v>190.48177154162673</v>
      </c>
      <c r="H4" s="4">
        <f>INDEX('All Facts'!K:K,MATCH(Recipie!$B4,'All Facts'!$B:$B,0),1)/INDEX('All Facts'!$F:$F,MATCH(Recipie!$B4,'All Facts'!$B:$B,0),1)*$C4</f>
        <v>0</v>
      </c>
      <c r="I4" s="4">
        <f>INDEX('All Facts'!L:L,MATCH(Recipie!$B4,'All Facts'!$B:$B,0),1)/INDEX('All Facts'!$F:$F,MATCH(Recipie!$B4,'All Facts'!$B:$B,0),1)*$C4</f>
        <v>0</v>
      </c>
      <c r="J4" s="4">
        <f>INDEX('All Facts'!M:M,MATCH(Recipie!$B4,'All Facts'!$B:$B,0),1)/INDEX('All Facts'!$F:$F,MATCH(Recipie!$B4,'All Facts'!$B:$B,0),1)*$C4</f>
        <v>0</v>
      </c>
      <c r="K4" s="4">
        <f>INDEX('All Facts'!N:N,MATCH(Recipie!$B4,'All Facts'!$B:$B,0),1)/INDEX('All Facts'!$F:$F,MATCH(Recipie!$B4,'All Facts'!$B:$B,0),1)*$C4</f>
        <v>609.54166893320553</v>
      </c>
      <c r="L4" s="4">
        <f>INDEX('All Facts'!O:O,MATCH(Recipie!$B4,'All Facts'!$B:$B,0),1)/INDEX('All Facts'!$F:$F,MATCH(Recipie!$B4,'All Facts'!$B:$B,0),1)*$C4</f>
        <v>571.4453146248801</v>
      </c>
      <c r="M4" s="4">
        <f>INDEX('All Facts'!P:P,MATCH(Recipie!$B4,'All Facts'!$B:$B,0),1)/INDEX('All Facts'!$F:$F,MATCH(Recipie!$B4,'All Facts'!$B:$B,0),1)*$C4</f>
        <v>0</v>
      </c>
      <c r="N4" s="4">
        <f>INDEX('All Facts'!Q:Q,MATCH(Recipie!$B4,'All Facts'!$B:$B,0),1)/INDEX('All Facts'!$F:$F,MATCH(Recipie!$B4,'All Facts'!$B:$B,0),1)*$C4</f>
        <v>0</v>
      </c>
      <c r="O4" s="4">
        <f>INDEX('All Facts'!R:R,MATCH(Recipie!$B4,'All Facts'!$B:$B,0),1)/INDEX('All Facts'!$F:$F,MATCH(Recipie!$B4,'All Facts'!$B:$B,0),1)*$C4</f>
        <v>2.7429375101994249</v>
      </c>
      <c r="P4" s="4">
        <f>INDEX('All Facts'!S:S,MATCH(Recipie!$B4,'All Facts'!$B:$B,0),1)/INDEX('All Facts'!$F:$F,MATCH(Recipie!$B4,'All Facts'!$B:$B,0),1)*$C4</f>
        <v>0</v>
      </c>
      <c r="Q4" s="4">
        <f>INDEX('All Facts'!T:T,MATCH(Recipie!$B4,'All Facts'!$B:$B,0),1)/INDEX('All Facts'!$F:$F,MATCH(Recipie!$B4,'All Facts'!$B:$B,0),1)*$C4</f>
        <v>0</v>
      </c>
      <c r="R4" s="4">
        <f>INDEX('All Facts'!U:U,MATCH(Recipie!$B4,'All Facts'!$B:$B,0),1)/INDEX('All Facts'!$F:$F,MATCH(Recipie!$B4,'All Facts'!$B:$B,0),1)*$C4</f>
        <v>0</v>
      </c>
      <c r="S4" s="4">
        <f>INDEX('All Facts'!V:V,MATCH(Recipie!$B4,'All Facts'!$B:$B,0),1)/INDEX('All Facts'!$F:$F,MATCH(Recipie!$B4,'All Facts'!$B:$B,0),1)*$C4</f>
        <v>0</v>
      </c>
      <c r="T4" s="4">
        <f>INDEX('All Facts'!W:W,MATCH(Recipie!$B4,'All Facts'!$B:$B,0),1)/INDEX('All Facts'!$F:$F,MATCH(Recipie!$B4,'All Facts'!$B:$B,0),1)*$C4</f>
        <v>0</v>
      </c>
      <c r="U4" s="4">
        <f>INDEX('All Facts'!X:X,MATCH(Recipie!$B4,'All Facts'!$B:$B,0),1)/INDEX('All Facts'!$F:$F,MATCH(Recipie!$B4,'All Facts'!$B:$B,0),1)*$C4</f>
        <v>0</v>
      </c>
      <c r="V4" s="4">
        <f>INDEX('All Facts'!Y:Y,MATCH(Recipie!$B4,'All Facts'!$B:$B,0),1)/INDEX('All Facts'!$F:$F,MATCH(Recipie!$B4,'All Facts'!$B:$B,0),1)*$C4</f>
        <v>0</v>
      </c>
      <c r="W4" s="4">
        <f>INDEX('All Facts'!Z:Z,MATCH(Recipie!$B4,'All Facts'!$B:$B,0),1)/INDEX('All Facts'!$F:$F,MATCH(Recipie!$B4,'All Facts'!$B:$B,0),1)*$C4</f>
        <v>0</v>
      </c>
      <c r="AA4" s="4" t="s">
        <v>54</v>
      </c>
      <c r="AB4" s="2" t="s">
        <v>35</v>
      </c>
      <c r="AC4">
        <v>50</v>
      </c>
      <c r="AD4" s="3" t="s">
        <v>23</v>
      </c>
      <c r="AE4">
        <v>450</v>
      </c>
    </row>
    <row r="5" spans="1:31" s="4" customFormat="1" ht="45" x14ac:dyDescent="0.25">
      <c r="A5" s="4" t="s">
        <v>42</v>
      </c>
      <c r="B5" s="4" t="s">
        <v>45</v>
      </c>
      <c r="C5" s="4">
        <f>SUM(C2:C4)</f>
        <v>1044.7895868464684</v>
      </c>
      <c r="D5" s="4">
        <f t="shared" ref="D5:W5" si="0">SUM(D2:D4)</f>
        <v>1313.3677126964205</v>
      </c>
      <c r="E5" s="4">
        <f t="shared" si="0"/>
        <v>17.619270861665068</v>
      </c>
      <c r="F5" s="4">
        <f t="shared" si="0"/>
        <v>70.097291927318636</v>
      </c>
      <c r="G5" s="4">
        <f t="shared" si="0"/>
        <v>208.57718823095877</v>
      </c>
      <c r="H5" s="4">
        <f t="shared" si="0"/>
        <v>3</v>
      </c>
      <c r="I5" s="4">
        <f t="shared" si="0"/>
        <v>0</v>
      </c>
      <c r="J5" s="4">
        <f t="shared" si="0"/>
        <v>0</v>
      </c>
      <c r="K5" s="4">
        <f t="shared" si="0"/>
        <v>979.54166893320553</v>
      </c>
      <c r="L5" s="4">
        <f t="shared" si="0"/>
        <v>711.4453146248801</v>
      </c>
      <c r="M5" s="4">
        <f t="shared" si="0"/>
        <v>2</v>
      </c>
      <c r="N5" s="4">
        <f t="shared" si="0"/>
        <v>60</v>
      </c>
      <c r="O5" s="4">
        <f t="shared" si="0"/>
        <v>8.5049583582652613</v>
      </c>
      <c r="P5" s="4">
        <f t="shared" si="0"/>
        <v>91.431250339980821</v>
      </c>
      <c r="Q5" s="4">
        <f t="shared" si="0"/>
        <v>0</v>
      </c>
      <c r="R5" s="4">
        <f t="shared" si="0"/>
        <v>0</v>
      </c>
      <c r="S5" s="4">
        <f t="shared" si="0"/>
        <v>0</v>
      </c>
      <c r="T5" s="4">
        <f t="shared" si="0"/>
        <v>0</v>
      </c>
      <c r="U5" s="4">
        <f t="shared" si="0"/>
        <v>152.38541723330138</v>
      </c>
      <c r="V5" s="4">
        <f t="shared" si="0"/>
        <v>4.2667916825324381</v>
      </c>
      <c r="W5" s="4">
        <f t="shared" si="0"/>
        <v>0.67049583582652605</v>
      </c>
      <c r="AA5" s="4" t="s">
        <v>54</v>
      </c>
      <c r="AB5" s="2" t="s">
        <v>37</v>
      </c>
      <c r="AC5">
        <f>('All Facts'!F10*4)/3</f>
        <v>40</v>
      </c>
      <c r="AD5" s="3" t="s">
        <v>23</v>
      </c>
      <c r="AE5">
        <v>680</v>
      </c>
    </row>
    <row r="7" spans="1:31" ht="45" x14ac:dyDescent="0.25">
      <c r="B7" s="4" t="s">
        <v>43</v>
      </c>
      <c r="C7" s="4" t="s">
        <v>55</v>
      </c>
    </row>
    <row r="8" spans="1:31" ht="30" x14ac:dyDescent="0.25">
      <c r="A8" s="4" t="s">
        <v>54</v>
      </c>
      <c r="B8" s="4" t="s">
        <v>35</v>
      </c>
      <c r="C8" s="4">
        <f>MAX(MROUND(AC4/AE4*C10,AC4),50)</f>
        <v>100</v>
      </c>
      <c r="D8" s="4">
        <f>INDEX('All Facts'!G:G,MATCH(Recipie!$B8,'All Facts'!$B:$B,0),1)/INDEX('All Facts'!$F:$F,MATCH(Recipie!$B8,'All Facts'!$B:$B,0),1)*$C8</f>
        <v>140</v>
      </c>
      <c r="E8" s="4">
        <f>INDEX('All Facts'!H:H,MATCH(Recipie!$B8,'All Facts'!$B:$B,0),1)/INDEX('All Facts'!$F:$F,MATCH(Recipie!$B8,'All Facts'!$B:$B,0),1)*$C8</f>
        <v>10</v>
      </c>
      <c r="F8" s="4">
        <f>INDEX('All Facts'!I:I,MATCH(Recipie!$B8,'All Facts'!$B:$B,0),1)/INDEX('All Facts'!$F:$F,MATCH(Recipie!$B8,'All Facts'!$B:$B,0),1)*$C8</f>
        <v>0</v>
      </c>
      <c r="G8" s="4">
        <f>INDEX('All Facts'!J:J,MATCH(Recipie!$B8,'All Facts'!$B:$B,0),1)/INDEX('All Facts'!$F:$F,MATCH(Recipie!$B8,'All Facts'!$B:$B,0),1)*$C8</f>
        <v>12</v>
      </c>
      <c r="H8" s="4">
        <f>INDEX('All Facts'!K:K,MATCH(Recipie!$B8,'All Facts'!$B:$B,0),1)/INDEX('All Facts'!$F:$F,MATCH(Recipie!$B8,'All Facts'!$B:$B,0),1)*$C8</f>
        <v>3</v>
      </c>
      <c r="I8" s="4">
        <f>INDEX('All Facts'!L:L,MATCH(Recipie!$B8,'All Facts'!$B:$B,0),1)/INDEX('All Facts'!$F:$F,MATCH(Recipie!$B8,'All Facts'!$B:$B,0),1)*$C8</f>
        <v>0</v>
      </c>
      <c r="J8" s="4">
        <f>INDEX('All Facts'!M:M,MATCH(Recipie!$B8,'All Facts'!$B:$B,0),1)/INDEX('All Facts'!$F:$F,MATCH(Recipie!$B8,'All Facts'!$B:$B,0),1)*$C8</f>
        <v>0</v>
      </c>
      <c r="K8" s="4">
        <f>INDEX('All Facts'!N:N,MATCH(Recipie!$B8,'All Facts'!$B:$B,0),1)/INDEX('All Facts'!$F:$F,MATCH(Recipie!$B8,'All Facts'!$B:$B,0),1)*$C8</f>
        <v>370</v>
      </c>
      <c r="L8" s="4">
        <f>INDEX('All Facts'!O:O,MATCH(Recipie!$B8,'All Facts'!$B:$B,0),1)/INDEX('All Facts'!$F:$F,MATCH(Recipie!$B8,'All Facts'!$B:$B,0),1)*$C8</f>
        <v>140</v>
      </c>
      <c r="M8" s="4">
        <f>INDEX('All Facts'!P:P,MATCH(Recipie!$B8,'All Facts'!$B:$B,0),1)/INDEX('All Facts'!$F:$F,MATCH(Recipie!$B8,'All Facts'!$B:$B,0),1)*$C8</f>
        <v>2</v>
      </c>
      <c r="N8" s="4">
        <f>INDEX('All Facts'!Q:Q,MATCH(Recipie!$B8,'All Facts'!$B:$B,0),1)/INDEX('All Facts'!$F:$F,MATCH(Recipie!$B8,'All Facts'!$B:$B,0),1)*$C8</f>
        <v>60</v>
      </c>
      <c r="O8" s="4">
        <f>INDEX('All Facts'!R:R,MATCH(Recipie!$B8,'All Facts'!$B:$B,0),1)/INDEX('All Facts'!$F:$F,MATCH(Recipie!$B8,'All Facts'!$B:$B,0),1)*$C8</f>
        <v>1.8000000000000003</v>
      </c>
      <c r="P8" s="4">
        <f>INDEX('All Facts'!S:S,MATCH(Recipie!$B8,'All Facts'!$B:$B,0),1)/INDEX('All Facts'!$F:$F,MATCH(Recipie!$B8,'All Facts'!$B:$B,0),1)*$C8</f>
        <v>0</v>
      </c>
      <c r="Q8" s="4">
        <f>INDEX('All Facts'!T:T,MATCH(Recipie!$B8,'All Facts'!$B:$B,0),1)/INDEX('All Facts'!$F:$F,MATCH(Recipie!$B8,'All Facts'!$B:$B,0),1)*$C8</f>
        <v>0</v>
      </c>
      <c r="R8" s="4">
        <f>INDEX('All Facts'!U:U,MATCH(Recipie!$B8,'All Facts'!$B:$B,0),1)/INDEX('All Facts'!$F:$F,MATCH(Recipie!$B8,'All Facts'!$B:$B,0),1)*$C8</f>
        <v>0</v>
      </c>
      <c r="S8" s="4">
        <f>INDEX('All Facts'!V:V,MATCH(Recipie!$B8,'All Facts'!$B:$B,0),1)/INDEX('All Facts'!$F:$F,MATCH(Recipie!$B8,'All Facts'!$B:$B,0),1)*$C8</f>
        <v>0</v>
      </c>
      <c r="T8" s="4">
        <f>INDEX('All Facts'!W:W,MATCH(Recipie!$B8,'All Facts'!$B:$B,0),1)/INDEX('All Facts'!$F:$F,MATCH(Recipie!$B8,'All Facts'!$B:$B,0),1)*$C8</f>
        <v>0</v>
      </c>
      <c r="U8" s="4">
        <f>INDEX('All Facts'!X:X,MATCH(Recipie!$B8,'All Facts'!$B:$B,0),1)/INDEX('All Facts'!$F:$F,MATCH(Recipie!$B8,'All Facts'!$B:$B,0),1)*$C8</f>
        <v>0</v>
      </c>
      <c r="V8" s="4">
        <f>INDEX('All Facts'!Y:Y,MATCH(Recipie!$B8,'All Facts'!$B:$B,0),1)/INDEX('All Facts'!$F:$F,MATCH(Recipie!$B8,'All Facts'!$B:$B,0),1)*$C8</f>
        <v>0</v>
      </c>
      <c r="W8" s="4">
        <f>INDEX('All Facts'!Z:Z,MATCH(Recipie!$B8,'All Facts'!$B:$B,0),1)/INDEX('All Facts'!$F:$F,MATCH(Recipie!$B8,'All Facts'!$B:$B,0),1)*$C8</f>
        <v>0</v>
      </c>
      <c r="Y8" s="2"/>
    </row>
    <row r="9" spans="1:31" ht="45" x14ac:dyDescent="0.25">
      <c r="A9" s="4" t="s">
        <v>54</v>
      </c>
      <c r="B9" s="4" t="s">
        <v>37</v>
      </c>
      <c r="C9" s="10">
        <f>AC5/AE5*C10</f>
        <v>66.17637116661848</v>
      </c>
      <c r="D9" s="4">
        <f>INDEX('All Facts'!G:G,MATCH(Recipie!$B9,'All Facts'!$B:$B,0),1)/INDEX('All Facts'!$F:$F,MATCH(Recipie!$B9,'All Facts'!$B:$B,0),1)*$C9</f>
        <v>242.64669427760109</v>
      </c>
      <c r="E9" s="4">
        <f>INDEX('All Facts'!H:H,MATCH(Recipie!$B9,'All Facts'!$B:$B,0),1)/INDEX('All Facts'!$F:$F,MATCH(Recipie!$B9,'All Facts'!$B:$B,0),1)*$C9</f>
        <v>0</v>
      </c>
      <c r="F9" s="4">
        <f>INDEX('All Facts'!I:I,MATCH(Recipie!$B9,'All Facts'!$B:$B,0),1)/INDEX('All Facts'!$F:$F,MATCH(Recipie!$B9,'All Facts'!$B:$B,0),1)*$C9</f>
        <v>50.735217894407505</v>
      </c>
      <c r="G9" s="4">
        <f>INDEX('All Facts'!J:J,MATCH(Recipie!$B9,'All Facts'!$B:$B,0),1)/INDEX('All Facts'!$F:$F,MATCH(Recipie!$B9,'All Facts'!$B:$B,0),1)*$C9</f>
        <v>4.4117580777745653</v>
      </c>
      <c r="H9" s="4">
        <f>INDEX('All Facts'!K:K,MATCH(Recipie!$B9,'All Facts'!$B:$B,0),1)/INDEX('All Facts'!$F:$F,MATCH(Recipie!$B9,'All Facts'!$B:$B,0),1)*$C9</f>
        <v>0</v>
      </c>
      <c r="I9" s="4">
        <f>INDEX('All Facts'!L:L,MATCH(Recipie!$B9,'All Facts'!$B:$B,0),1)/INDEX('All Facts'!$F:$F,MATCH(Recipie!$B9,'All Facts'!$B:$B,0),1)*$C9</f>
        <v>0</v>
      </c>
      <c r="J9" s="4">
        <f>INDEX('All Facts'!M:M,MATCH(Recipie!$B9,'All Facts'!$B:$B,0),1)/INDEX('All Facts'!$F:$F,MATCH(Recipie!$B9,'All Facts'!$B:$B,0),1)*$C9</f>
        <v>0</v>
      </c>
      <c r="K9" s="4">
        <f>INDEX('All Facts'!N:N,MATCH(Recipie!$B9,'All Facts'!$B:$B,0),1)/INDEX('All Facts'!$F:$F,MATCH(Recipie!$B9,'All Facts'!$B:$B,0),1)*$C9</f>
        <v>0</v>
      </c>
      <c r="L9" s="4">
        <f>INDEX('All Facts'!O:O,MATCH(Recipie!$B9,'All Facts'!$B:$B,0),1)/INDEX('All Facts'!$F:$F,MATCH(Recipie!$B9,'All Facts'!$B:$B,0),1)*$C9</f>
        <v>0</v>
      </c>
      <c r="M9" s="4">
        <f>INDEX('All Facts'!P:P,MATCH(Recipie!$B9,'All Facts'!$B:$B,0),1)/INDEX('All Facts'!$F:$F,MATCH(Recipie!$B9,'All Facts'!$B:$B,0),1)*$C9</f>
        <v>0</v>
      </c>
      <c r="N9" s="4">
        <f>INDEX('All Facts'!Q:Q,MATCH(Recipie!$B9,'All Facts'!$B:$B,0),1)/INDEX('All Facts'!$F:$F,MATCH(Recipie!$B9,'All Facts'!$B:$B,0),1)*$C9</f>
        <v>0</v>
      </c>
      <c r="O9" s="4">
        <f>INDEX('All Facts'!R:R,MATCH(Recipie!$B9,'All Facts'!$B:$B,0),1)/INDEX('All Facts'!$F:$F,MATCH(Recipie!$B9,'All Facts'!$B:$B,0),1)*$C9</f>
        <v>2.8676427505534674</v>
      </c>
      <c r="P9" s="4">
        <f>INDEX('All Facts'!S:S,MATCH(Recipie!$B9,'All Facts'!$B:$B,0),1)/INDEX('All Facts'!$F:$F,MATCH(Recipie!$B9,'All Facts'!$B:$B,0),1)*$C9</f>
        <v>66.17637116661848</v>
      </c>
      <c r="Q9" s="4">
        <f>INDEX('All Facts'!T:T,MATCH(Recipie!$B9,'All Facts'!$B:$B,0),1)/INDEX('All Facts'!$F:$F,MATCH(Recipie!$B9,'All Facts'!$B:$B,0),1)*$C9</f>
        <v>0</v>
      </c>
      <c r="R9" s="4">
        <f>INDEX('All Facts'!U:U,MATCH(Recipie!$B9,'All Facts'!$B:$B,0),1)/INDEX('All Facts'!$F:$F,MATCH(Recipie!$B9,'All Facts'!$B:$B,0),1)*$C9</f>
        <v>0</v>
      </c>
      <c r="S9" s="4">
        <f>INDEX('All Facts'!V:V,MATCH(Recipie!$B9,'All Facts'!$B:$B,0),1)/INDEX('All Facts'!$F:$F,MATCH(Recipie!$B9,'All Facts'!$B:$B,0),1)*$C9</f>
        <v>0</v>
      </c>
      <c r="T9" s="4">
        <f>INDEX('All Facts'!W:W,MATCH(Recipie!$B9,'All Facts'!$B:$B,0),1)/INDEX('All Facts'!$F:$F,MATCH(Recipie!$B9,'All Facts'!$B:$B,0),1)*$C9</f>
        <v>0</v>
      </c>
      <c r="U9" s="4">
        <f>INDEX('All Facts'!X:X,MATCH(Recipie!$B9,'All Facts'!$B:$B,0),1)/INDEX('All Facts'!$F:$F,MATCH(Recipie!$B9,'All Facts'!$B:$B,0),1)*$C9</f>
        <v>110.29395194436414</v>
      </c>
      <c r="V9" s="4">
        <f>INDEX('All Facts'!Y:Y,MATCH(Recipie!$B9,'All Facts'!$B:$B,0),1)/INDEX('All Facts'!$F:$F,MATCH(Recipie!$B9,'All Facts'!$B:$B,0),1)*$C9</f>
        <v>3.0882306544421954</v>
      </c>
      <c r="W9" s="4">
        <f>INDEX('All Facts'!Z:Z,MATCH(Recipie!$B9,'All Facts'!$B:$B,0),1)/INDEX('All Facts'!$F:$F,MATCH(Recipie!$B9,'All Facts'!$B:$B,0),1)*$C9</f>
        <v>0.48529338855520215</v>
      </c>
      <c r="X9" s="2"/>
    </row>
    <row r="10" spans="1:31" ht="105" x14ac:dyDescent="0.25">
      <c r="A10" s="4" t="s">
        <v>54</v>
      </c>
      <c r="B10" s="4" t="s">
        <v>23</v>
      </c>
      <c r="C10" s="11">
        <f>Solver!C9</f>
        <v>1124.9983098325142</v>
      </c>
      <c r="D10" s="4">
        <f>INDEX('All Facts'!G:G,MATCH(Recipie!$B10,'All Facts'!$B:$B,0),1)/INDEX('All Facts'!$F:$F,MATCH(Recipie!$B10,'All Facts'!$B:$B,0),1)*$C10</f>
        <v>595.58734049956638</v>
      </c>
      <c r="E10" s="4">
        <f>INDEX('All Facts'!H:H,MATCH(Recipie!$B10,'All Facts'!$B:$B,0),1)/INDEX('All Facts'!$F:$F,MATCH(Recipie!$B10,'All Facts'!$B:$B,0),1)*$C10</f>
        <v>0</v>
      </c>
      <c r="F10" s="4">
        <f>INDEX('All Facts'!I:I,MATCH(Recipie!$B10,'All Facts'!$B:$B,0),1)/INDEX('All Facts'!$F:$F,MATCH(Recipie!$B10,'All Facts'!$B:$B,0),1)*$C10</f>
        <v>0</v>
      </c>
      <c r="G10" s="4">
        <f>INDEX('All Facts'!J:J,MATCH(Recipie!$B10,'All Facts'!$B:$B,0),1)/INDEX('All Facts'!$F:$F,MATCH(Recipie!$B10,'All Facts'!$B:$B,0),1)*$C10</f>
        <v>145.58801656656067</v>
      </c>
      <c r="H10" s="4">
        <f>INDEX('All Facts'!K:K,MATCH(Recipie!$B10,'All Facts'!$B:$B,0),1)/INDEX('All Facts'!$F:$F,MATCH(Recipie!$B10,'All Facts'!$B:$B,0),1)*$C10</f>
        <v>0</v>
      </c>
      <c r="I10" s="4">
        <f>INDEX('All Facts'!L:L,MATCH(Recipie!$B10,'All Facts'!$B:$B,0),1)/INDEX('All Facts'!$F:$F,MATCH(Recipie!$B10,'All Facts'!$B:$B,0),1)*$C10</f>
        <v>0</v>
      </c>
      <c r="J10" s="4">
        <f>INDEX('All Facts'!M:M,MATCH(Recipie!$B10,'All Facts'!$B:$B,0),1)/INDEX('All Facts'!$F:$F,MATCH(Recipie!$B10,'All Facts'!$B:$B,0),1)*$C10</f>
        <v>0</v>
      </c>
      <c r="K10" s="4">
        <f>INDEX('All Facts'!N:N,MATCH(Recipie!$B10,'All Facts'!$B:$B,0),1)/INDEX('All Facts'!$F:$F,MATCH(Recipie!$B10,'All Facts'!$B:$B,0),1)*$C10</f>
        <v>1588.2329079988438</v>
      </c>
      <c r="L10" s="4">
        <f>INDEX('All Facts'!O:O,MATCH(Recipie!$B10,'All Facts'!$B:$B,0),1)/INDEX('All Facts'!$F:$F,MATCH(Recipie!$B10,'All Facts'!$B:$B,0),1)*$C10</f>
        <v>5294.1096933294784</v>
      </c>
      <c r="M10" s="4">
        <f>INDEX('All Facts'!P:P,MATCH(Recipie!$B10,'All Facts'!$B:$B,0),1)/INDEX('All Facts'!$F:$F,MATCH(Recipie!$B10,'All Facts'!$B:$B,0),1)*$C10</f>
        <v>0</v>
      </c>
      <c r="N10" s="4">
        <f>INDEX('All Facts'!Q:Q,MATCH(Recipie!$B10,'All Facts'!$B:$B,0),1)/INDEX('All Facts'!$F:$F,MATCH(Recipie!$B10,'All Facts'!$B:$B,0),1)*$C10</f>
        <v>0</v>
      </c>
      <c r="O10" s="4">
        <f>INDEX('All Facts'!R:R,MATCH(Recipie!$B10,'All Facts'!$B:$B,0),1)/INDEX('All Facts'!$F:$F,MATCH(Recipie!$B10,'All Facts'!$B:$B,0),1)*$C10</f>
        <v>0</v>
      </c>
      <c r="P10" s="4">
        <f>INDEX('All Facts'!S:S,MATCH(Recipie!$B10,'All Facts'!$B:$B,0),1)/INDEX('All Facts'!$F:$F,MATCH(Recipie!$B10,'All Facts'!$B:$B,0),1)*$C10</f>
        <v>0</v>
      </c>
      <c r="Q10" s="4">
        <f>INDEX('All Facts'!T:T,MATCH(Recipie!$B10,'All Facts'!$B:$B,0),1)/INDEX('All Facts'!$F:$F,MATCH(Recipie!$B10,'All Facts'!$B:$B,0),1)*$C10</f>
        <v>0</v>
      </c>
      <c r="R10" s="4">
        <f>INDEX('All Facts'!U:U,MATCH(Recipie!$B10,'All Facts'!$B:$B,0),1)/INDEX('All Facts'!$F:$F,MATCH(Recipie!$B10,'All Facts'!$B:$B,0),1)*$C10</f>
        <v>0</v>
      </c>
      <c r="S10" s="4">
        <f>INDEX('All Facts'!V:V,MATCH(Recipie!$B10,'All Facts'!$B:$B,0),1)/INDEX('All Facts'!$F:$F,MATCH(Recipie!$B10,'All Facts'!$B:$B,0),1)*$C10</f>
        <v>0</v>
      </c>
      <c r="T10" s="4">
        <f>INDEX('All Facts'!W:W,MATCH(Recipie!$B10,'All Facts'!$B:$B,0),1)/INDEX('All Facts'!$F:$F,MATCH(Recipie!$B10,'All Facts'!$B:$B,0),1)*$C10</f>
        <v>0</v>
      </c>
      <c r="U10" s="4">
        <f>INDEX('All Facts'!X:X,MATCH(Recipie!$B10,'All Facts'!$B:$B,0),1)/INDEX('All Facts'!$F:$F,MATCH(Recipie!$B10,'All Facts'!$B:$B,0),1)*$C10</f>
        <v>0</v>
      </c>
      <c r="V10" s="4">
        <f>INDEX('All Facts'!Y:Y,MATCH(Recipie!$B10,'All Facts'!$B:$B,0),1)/INDEX('All Facts'!$F:$F,MATCH(Recipie!$B10,'All Facts'!$B:$B,0),1)*$C10</f>
        <v>0</v>
      </c>
      <c r="W10" s="4">
        <f>INDEX('All Facts'!Z:Z,MATCH(Recipie!$B10,'All Facts'!$B:$B,0),1)/INDEX('All Facts'!$F:$F,MATCH(Recipie!$B10,'All Facts'!$B:$B,0),1)*$C10</f>
        <v>0</v>
      </c>
    </row>
    <row r="11" spans="1:31" x14ac:dyDescent="0.25">
      <c r="A11" s="4" t="s">
        <v>54</v>
      </c>
      <c r="B11" s="4" t="s">
        <v>45</v>
      </c>
      <c r="C11" s="4">
        <f>SUM(C8:C10)</f>
        <v>1291.1746809991328</v>
      </c>
      <c r="D11" s="4">
        <f t="shared" ref="D11:W11" si="1">SUM(D8:D10)</f>
        <v>978.23403477716749</v>
      </c>
      <c r="E11" s="4">
        <f t="shared" si="1"/>
        <v>10</v>
      </c>
      <c r="F11" s="4">
        <f t="shared" si="1"/>
        <v>50.735217894407505</v>
      </c>
      <c r="G11" s="4">
        <f t="shared" si="1"/>
        <v>161.99977464433522</v>
      </c>
      <c r="H11" s="4">
        <f t="shared" si="1"/>
        <v>3</v>
      </c>
      <c r="I11" s="4">
        <f t="shared" si="1"/>
        <v>0</v>
      </c>
      <c r="J11" s="4">
        <f t="shared" si="1"/>
        <v>0</v>
      </c>
      <c r="K11" s="4">
        <f t="shared" si="1"/>
        <v>1958.2329079988438</v>
      </c>
      <c r="L11" s="4">
        <f t="shared" si="1"/>
        <v>5434.1096933294784</v>
      </c>
      <c r="M11" s="4">
        <f t="shared" si="1"/>
        <v>2</v>
      </c>
      <c r="N11" s="4">
        <f t="shared" si="1"/>
        <v>60</v>
      </c>
      <c r="O11" s="4">
        <f t="shared" si="1"/>
        <v>4.6676427505534672</v>
      </c>
      <c r="P11" s="4">
        <f t="shared" si="1"/>
        <v>66.17637116661848</v>
      </c>
      <c r="Q11" s="4">
        <f t="shared" si="1"/>
        <v>0</v>
      </c>
      <c r="R11" s="4">
        <f t="shared" si="1"/>
        <v>0</v>
      </c>
      <c r="S11" s="4">
        <f t="shared" si="1"/>
        <v>0</v>
      </c>
      <c r="T11" s="4">
        <f t="shared" si="1"/>
        <v>0</v>
      </c>
      <c r="U11" s="4">
        <f t="shared" si="1"/>
        <v>110.29395194436414</v>
      </c>
      <c r="V11" s="4">
        <f t="shared" si="1"/>
        <v>3.0882306544421954</v>
      </c>
      <c r="W11" s="4">
        <f t="shared" si="1"/>
        <v>0.48529338855520215</v>
      </c>
    </row>
    <row r="13" spans="1:31" ht="45" x14ac:dyDescent="0.25">
      <c r="B13" s="4" t="s">
        <v>43</v>
      </c>
      <c r="C13" s="4" t="s">
        <v>55</v>
      </c>
    </row>
    <row r="14" spans="1:31" ht="30" x14ac:dyDescent="0.25">
      <c r="A14" s="4" t="s">
        <v>58</v>
      </c>
      <c r="B14" s="4" t="s">
        <v>35</v>
      </c>
      <c r="C14" s="4">
        <f>MAX(MROUND(AC4/AE4*C16,AC4),50)</f>
        <v>50</v>
      </c>
      <c r="D14" s="4">
        <f>INDEX('All Facts'!G:G,MATCH(Recipie!$B14,'All Facts'!$B:$B,0),1)/INDEX('All Facts'!$F:$F,MATCH(Recipie!$B14,'All Facts'!$B:$B,0),1)*$C14</f>
        <v>70</v>
      </c>
      <c r="E14" s="4">
        <f>INDEX('All Facts'!H:H,MATCH(Recipie!$B14,'All Facts'!$B:$B,0),1)/INDEX('All Facts'!$F:$F,MATCH(Recipie!$B14,'All Facts'!$B:$B,0),1)*$C14</f>
        <v>5</v>
      </c>
      <c r="F14" s="4">
        <f>INDEX('All Facts'!I:I,MATCH(Recipie!$B14,'All Facts'!$B:$B,0),1)/INDEX('All Facts'!$F:$F,MATCH(Recipie!$B14,'All Facts'!$B:$B,0),1)*$C14</f>
        <v>0</v>
      </c>
      <c r="G14" s="4">
        <f>INDEX('All Facts'!J:J,MATCH(Recipie!$B14,'All Facts'!$B:$B,0),1)/INDEX('All Facts'!$F:$F,MATCH(Recipie!$B14,'All Facts'!$B:$B,0),1)*$C14</f>
        <v>6</v>
      </c>
      <c r="H14" s="4">
        <f>INDEX('All Facts'!K:K,MATCH(Recipie!$B14,'All Facts'!$B:$B,0),1)/INDEX('All Facts'!$F:$F,MATCH(Recipie!$B14,'All Facts'!$B:$B,0),1)*$C14</f>
        <v>1.5</v>
      </c>
      <c r="I14" s="4">
        <f>INDEX('All Facts'!L:L,MATCH(Recipie!$B14,'All Facts'!$B:$B,0),1)/INDEX('All Facts'!$F:$F,MATCH(Recipie!$B14,'All Facts'!$B:$B,0),1)*$C14</f>
        <v>0</v>
      </c>
      <c r="J14" s="4">
        <f>INDEX('All Facts'!M:M,MATCH(Recipie!$B14,'All Facts'!$B:$B,0),1)/INDEX('All Facts'!$F:$F,MATCH(Recipie!$B14,'All Facts'!$B:$B,0),1)*$C14</f>
        <v>0</v>
      </c>
      <c r="K14" s="4">
        <f>INDEX('All Facts'!N:N,MATCH(Recipie!$B14,'All Facts'!$B:$B,0),1)/INDEX('All Facts'!$F:$F,MATCH(Recipie!$B14,'All Facts'!$B:$B,0),1)*$C14</f>
        <v>185</v>
      </c>
      <c r="L14" s="4">
        <f>INDEX('All Facts'!O:O,MATCH(Recipie!$B14,'All Facts'!$B:$B,0),1)/INDEX('All Facts'!$F:$F,MATCH(Recipie!$B14,'All Facts'!$B:$B,0),1)*$C14</f>
        <v>70</v>
      </c>
      <c r="M14" s="4">
        <f>INDEX('All Facts'!P:P,MATCH(Recipie!$B14,'All Facts'!$B:$B,0),1)/INDEX('All Facts'!$F:$F,MATCH(Recipie!$B14,'All Facts'!$B:$B,0),1)*$C14</f>
        <v>1</v>
      </c>
      <c r="N14" s="4">
        <f>INDEX('All Facts'!Q:Q,MATCH(Recipie!$B14,'All Facts'!$B:$B,0),1)/INDEX('All Facts'!$F:$F,MATCH(Recipie!$B14,'All Facts'!$B:$B,0),1)*$C14</f>
        <v>30</v>
      </c>
      <c r="O14" s="4">
        <f>INDEX('All Facts'!R:R,MATCH(Recipie!$B14,'All Facts'!$B:$B,0),1)/INDEX('All Facts'!$F:$F,MATCH(Recipie!$B14,'All Facts'!$B:$B,0),1)*$C14</f>
        <v>0.90000000000000013</v>
      </c>
      <c r="P14" s="4">
        <f>INDEX('All Facts'!S:S,MATCH(Recipie!$B14,'All Facts'!$B:$B,0),1)/INDEX('All Facts'!$F:$F,MATCH(Recipie!$B14,'All Facts'!$B:$B,0),1)*$C14</f>
        <v>0</v>
      </c>
      <c r="Q14" s="4">
        <f>INDEX('All Facts'!T:T,MATCH(Recipie!$B14,'All Facts'!$B:$B,0),1)/INDEX('All Facts'!$F:$F,MATCH(Recipie!$B14,'All Facts'!$B:$B,0),1)*$C14</f>
        <v>0</v>
      </c>
      <c r="R14" s="4">
        <f>INDEX('All Facts'!U:U,MATCH(Recipie!$B14,'All Facts'!$B:$B,0),1)/INDEX('All Facts'!$F:$F,MATCH(Recipie!$B14,'All Facts'!$B:$B,0),1)*$C14</f>
        <v>0</v>
      </c>
      <c r="S14" s="4">
        <f>INDEX('All Facts'!V:V,MATCH(Recipie!$B14,'All Facts'!$B:$B,0),1)/INDEX('All Facts'!$F:$F,MATCH(Recipie!$B14,'All Facts'!$B:$B,0),1)*$C14</f>
        <v>0</v>
      </c>
      <c r="T14" s="4">
        <f>INDEX('All Facts'!W:W,MATCH(Recipie!$B14,'All Facts'!$B:$B,0),1)/INDEX('All Facts'!$F:$F,MATCH(Recipie!$B14,'All Facts'!$B:$B,0),1)*$C14</f>
        <v>0</v>
      </c>
      <c r="U14" s="4">
        <f>INDEX('All Facts'!X:X,MATCH(Recipie!$B14,'All Facts'!$B:$B,0),1)/INDEX('All Facts'!$F:$F,MATCH(Recipie!$B14,'All Facts'!$B:$B,0),1)*$C14</f>
        <v>0</v>
      </c>
      <c r="V14" s="4">
        <f>INDEX('All Facts'!Y:Y,MATCH(Recipie!$B14,'All Facts'!$B:$B,0),1)/INDEX('All Facts'!$F:$F,MATCH(Recipie!$B14,'All Facts'!$B:$B,0),1)*$C14</f>
        <v>0</v>
      </c>
      <c r="W14" s="4">
        <f>INDEX('All Facts'!Z:Z,MATCH(Recipie!$B14,'All Facts'!$B:$B,0),1)/INDEX('All Facts'!$F:$F,MATCH(Recipie!$B14,'All Facts'!$B:$B,0),1)*$C14</f>
        <v>0</v>
      </c>
    </row>
    <row r="15" spans="1:31" ht="45" x14ac:dyDescent="0.25">
      <c r="A15" s="4" t="s">
        <v>58</v>
      </c>
      <c r="B15" s="4" t="s">
        <v>37</v>
      </c>
      <c r="C15" s="10">
        <f>AC5/AE5*C16</f>
        <v>6.6704705882352942</v>
      </c>
      <c r="D15" s="4">
        <f>INDEX('All Facts'!G:G,MATCH(Recipie!$B15,'All Facts'!$B:$B,0),1)/INDEX('All Facts'!$F:$F,MATCH(Recipie!$B15,'All Facts'!$B:$B,0),1)*$C15</f>
        <v>24.458392156862743</v>
      </c>
      <c r="E15" s="4">
        <f>INDEX('All Facts'!H:H,MATCH(Recipie!$B15,'All Facts'!$B:$B,0),1)/INDEX('All Facts'!$F:$F,MATCH(Recipie!$B15,'All Facts'!$B:$B,0),1)*$C15</f>
        <v>0</v>
      </c>
      <c r="F15" s="4">
        <f>INDEX('All Facts'!I:I,MATCH(Recipie!$B15,'All Facts'!$B:$B,0),1)/INDEX('All Facts'!$F:$F,MATCH(Recipie!$B15,'All Facts'!$B:$B,0),1)*$C15</f>
        <v>5.1140274509803927</v>
      </c>
      <c r="G15" s="4">
        <f>INDEX('All Facts'!J:J,MATCH(Recipie!$B15,'All Facts'!$B:$B,0),1)/INDEX('All Facts'!$F:$F,MATCH(Recipie!$B15,'All Facts'!$B:$B,0),1)*$C15</f>
        <v>0.44469803921568629</v>
      </c>
      <c r="H15" s="4">
        <f>INDEX('All Facts'!K:K,MATCH(Recipie!$B15,'All Facts'!$B:$B,0),1)/INDEX('All Facts'!$F:$F,MATCH(Recipie!$B15,'All Facts'!$B:$B,0),1)*$C15</f>
        <v>0</v>
      </c>
      <c r="I15" s="4">
        <f>INDEX('All Facts'!L:L,MATCH(Recipie!$B15,'All Facts'!$B:$B,0),1)/INDEX('All Facts'!$F:$F,MATCH(Recipie!$B15,'All Facts'!$B:$B,0),1)*$C15</f>
        <v>0</v>
      </c>
      <c r="J15" s="4">
        <f>INDEX('All Facts'!M:M,MATCH(Recipie!$B15,'All Facts'!$B:$B,0),1)/INDEX('All Facts'!$F:$F,MATCH(Recipie!$B15,'All Facts'!$B:$B,0),1)*$C15</f>
        <v>0</v>
      </c>
      <c r="K15" s="4">
        <f>INDEX('All Facts'!N:N,MATCH(Recipie!$B15,'All Facts'!$B:$B,0),1)/INDEX('All Facts'!$F:$F,MATCH(Recipie!$B15,'All Facts'!$B:$B,0),1)*$C15</f>
        <v>0</v>
      </c>
      <c r="L15" s="4">
        <f>INDEX('All Facts'!O:O,MATCH(Recipie!$B15,'All Facts'!$B:$B,0),1)/INDEX('All Facts'!$F:$F,MATCH(Recipie!$B15,'All Facts'!$B:$B,0),1)*$C15</f>
        <v>0</v>
      </c>
      <c r="M15" s="4">
        <f>INDEX('All Facts'!P:P,MATCH(Recipie!$B15,'All Facts'!$B:$B,0),1)/INDEX('All Facts'!$F:$F,MATCH(Recipie!$B15,'All Facts'!$B:$B,0),1)*$C15</f>
        <v>0</v>
      </c>
      <c r="N15" s="4">
        <f>INDEX('All Facts'!Q:Q,MATCH(Recipie!$B15,'All Facts'!$B:$B,0),1)/INDEX('All Facts'!$F:$F,MATCH(Recipie!$B15,'All Facts'!$B:$B,0),1)*$C15</f>
        <v>0</v>
      </c>
      <c r="O15" s="4">
        <f>INDEX('All Facts'!R:R,MATCH(Recipie!$B15,'All Facts'!$B:$B,0),1)/INDEX('All Facts'!$F:$F,MATCH(Recipie!$B15,'All Facts'!$B:$B,0),1)*$C15</f>
        <v>0.28905372549019609</v>
      </c>
      <c r="P15" s="4">
        <f>INDEX('All Facts'!S:S,MATCH(Recipie!$B15,'All Facts'!$B:$B,0),1)/INDEX('All Facts'!$F:$F,MATCH(Recipie!$B15,'All Facts'!$B:$B,0),1)*$C15</f>
        <v>6.6704705882352942</v>
      </c>
      <c r="Q15" s="4">
        <f>INDEX('All Facts'!T:T,MATCH(Recipie!$B15,'All Facts'!$B:$B,0),1)/INDEX('All Facts'!$F:$F,MATCH(Recipie!$B15,'All Facts'!$B:$B,0),1)*$C15</f>
        <v>0</v>
      </c>
      <c r="R15" s="4">
        <f>INDEX('All Facts'!U:U,MATCH(Recipie!$B15,'All Facts'!$B:$B,0),1)/INDEX('All Facts'!$F:$F,MATCH(Recipie!$B15,'All Facts'!$B:$B,0),1)*$C15</f>
        <v>0</v>
      </c>
      <c r="S15" s="4">
        <f>INDEX('All Facts'!V:V,MATCH(Recipie!$B15,'All Facts'!$B:$B,0),1)/INDEX('All Facts'!$F:$F,MATCH(Recipie!$B15,'All Facts'!$B:$B,0),1)*$C15</f>
        <v>0</v>
      </c>
      <c r="T15" s="4">
        <f>INDEX('All Facts'!W:W,MATCH(Recipie!$B15,'All Facts'!$B:$B,0),1)/INDEX('All Facts'!$F:$F,MATCH(Recipie!$B15,'All Facts'!$B:$B,0),1)*$C15</f>
        <v>0</v>
      </c>
      <c r="U15" s="4">
        <f>INDEX('All Facts'!X:X,MATCH(Recipie!$B15,'All Facts'!$B:$B,0),1)/INDEX('All Facts'!$F:$F,MATCH(Recipie!$B15,'All Facts'!$B:$B,0),1)*$C15</f>
        <v>11.117450980392157</v>
      </c>
      <c r="V15" s="4">
        <f>INDEX('All Facts'!Y:Y,MATCH(Recipie!$B15,'All Facts'!$B:$B,0),1)/INDEX('All Facts'!$F:$F,MATCH(Recipie!$B15,'All Facts'!$B:$B,0),1)*$C15</f>
        <v>0.31128862745098035</v>
      </c>
      <c r="W15" s="4">
        <f>INDEX('All Facts'!Z:Z,MATCH(Recipie!$B15,'All Facts'!$B:$B,0),1)/INDEX('All Facts'!$F:$F,MATCH(Recipie!$B15,'All Facts'!$B:$B,0),1)*$C15</f>
        <v>4.8916784313725488E-2</v>
      </c>
    </row>
    <row r="16" spans="1:31" ht="105" x14ac:dyDescent="0.25">
      <c r="A16" s="4" t="s">
        <v>58</v>
      </c>
      <c r="B16" s="4" t="s">
        <v>23</v>
      </c>
      <c r="C16" s="11">
        <f>Solver!C13</f>
        <v>113.398</v>
      </c>
      <c r="D16" s="4">
        <f>INDEX('All Facts'!G:G,MATCH(Recipie!$B16,'All Facts'!$B:$B,0),1)/INDEX('All Facts'!$F:$F,MATCH(Recipie!$B16,'All Facts'!$B:$B,0),1)*$C16</f>
        <v>60.034235294117643</v>
      </c>
      <c r="E16" s="4">
        <f>INDEX('All Facts'!H:H,MATCH(Recipie!$B16,'All Facts'!$B:$B,0),1)/INDEX('All Facts'!$F:$F,MATCH(Recipie!$B16,'All Facts'!$B:$B,0),1)*$C16</f>
        <v>0</v>
      </c>
      <c r="F16" s="4">
        <f>INDEX('All Facts'!I:I,MATCH(Recipie!$B16,'All Facts'!$B:$B,0),1)/INDEX('All Facts'!$F:$F,MATCH(Recipie!$B16,'All Facts'!$B:$B,0),1)*$C16</f>
        <v>0</v>
      </c>
      <c r="G16" s="4">
        <f>INDEX('All Facts'!J:J,MATCH(Recipie!$B16,'All Facts'!$B:$B,0),1)/INDEX('All Facts'!$F:$F,MATCH(Recipie!$B16,'All Facts'!$B:$B,0),1)*$C16</f>
        <v>14.675035294117649</v>
      </c>
      <c r="H16" s="4">
        <f>INDEX('All Facts'!K:K,MATCH(Recipie!$B16,'All Facts'!$B:$B,0),1)/INDEX('All Facts'!$F:$F,MATCH(Recipie!$B16,'All Facts'!$B:$B,0),1)*$C16</f>
        <v>0</v>
      </c>
      <c r="I16" s="4">
        <f>INDEX('All Facts'!L:L,MATCH(Recipie!$B16,'All Facts'!$B:$B,0),1)/INDEX('All Facts'!$F:$F,MATCH(Recipie!$B16,'All Facts'!$B:$B,0),1)*$C16</f>
        <v>0</v>
      </c>
      <c r="J16" s="4">
        <f>INDEX('All Facts'!M:M,MATCH(Recipie!$B16,'All Facts'!$B:$B,0),1)/INDEX('All Facts'!$F:$F,MATCH(Recipie!$B16,'All Facts'!$B:$B,0),1)*$C16</f>
        <v>0</v>
      </c>
      <c r="K16" s="4">
        <f>INDEX('All Facts'!N:N,MATCH(Recipie!$B16,'All Facts'!$B:$B,0),1)/INDEX('All Facts'!$F:$F,MATCH(Recipie!$B16,'All Facts'!$B:$B,0),1)*$C16</f>
        <v>160.09129411764707</v>
      </c>
      <c r="L16" s="4">
        <f>INDEX('All Facts'!O:O,MATCH(Recipie!$B16,'All Facts'!$B:$B,0),1)/INDEX('All Facts'!$F:$F,MATCH(Recipie!$B16,'All Facts'!$B:$B,0),1)*$C16</f>
        <v>533.63764705882352</v>
      </c>
      <c r="M16" s="4">
        <f>INDEX('All Facts'!P:P,MATCH(Recipie!$B16,'All Facts'!$B:$B,0),1)/INDEX('All Facts'!$F:$F,MATCH(Recipie!$B16,'All Facts'!$B:$B,0),1)*$C16</f>
        <v>0</v>
      </c>
      <c r="N16" s="4">
        <f>INDEX('All Facts'!Q:Q,MATCH(Recipie!$B16,'All Facts'!$B:$B,0),1)/INDEX('All Facts'!$F:$F,MATCH(Recipie!$B16,'All Facts'!$B:$B,0),1)*$C16</f>
        <v>0</v>
      </c>
      <c r="O16" s="4">
        <f>INDEX('All Facts'!R:R,MATCH(Recipie!$B16,'All Facts'!$B:$B,0),1)/INDEX('All Facts'!$F:$F,MATCH(Recipie!$B16,'All Facts'!$B:$B,0),1)*$C16</f>
        <v>0</v>
      </c>
      <c r="P16" s="4">
        <f>INDEX('All Facts'!S:S,MATCH(Recipie!$B16,'All Facts'!$B:$B,0),1)/INDEX('All Facts'!$F:$F,MATCH(Recipie!$B16,'All Facts'!$B:$B,0),1)*$C16</f>
        <v>0</v>
      </c>
      <c r="Q16" s="4">
        <f>INDEX('All Facts'!T:T,MATCH(Recipie!$B16,'All Facts'!$B:$B,0),1)/INDEX('All Facts'!$F:$F,MATCH(Recipie!$B16,'All Facts'!$B:$B,0),1)*$C16</f>
        <v>0</v>
      </c>
      <c r="R16" s="4">
        <f>INDEX('All Facts'!U:U,MATCH(Recipie!$B16,'All Facts'!$B:$B,0),1)/INDEX('All Facts'!$F:$F,MATCH(Recipie!$B16,'All Facts'!$B:$B,0),1)*$C16</f>
        <v>0</v>
      </c>
      <c r="S16" s="4">
        <f>INDEX('All Facts'!V:V,MATCH(Recipie!$B16,'All Facts'!$B:$B,0),1)/INDEX('All Facts'!$F:$F,MATCH(Recipie!$B16,'All Facts'!$B:$B,0),1)*$C16</f>
        <v>0</v>
      </c>
      <c r="T16" s="4">
        <f>INDEX('All Facts'!W:W,MATCH(Recipie!$B16,'All Facts'!$B:$B,0),1)/INDEX('All Facts'!$F:$F,MATCH(Recipie!$B16,'All Facts'!$B:$B,0),1)*$C16</f>
        <v>0</v>
      </c>
      <c r="U16" s="4">
        <f>INDEX('All Facts'!X:X,MATCH(Recipie!$B16,'All Facts'!$B:$B,0),1)/INDEX('All Facts'!$F:$F,MATCH(Recipie!$B16,'All Facts'!$B:$B,0),1)*$C16</f>
        <v>0</v>
      </c>
      <c r="V16" s="4">
        <f>INDEX('All Facts'!Y:Y,MATCH(Recipie!$B16,'All Facts'!$B:$B,0),1)/INDEX('All Facts'!$F:$F,MATCH(Recipie!$B16,'All Facts'!$B:$B,0),1)*$C16</f>
        <v>0</v>
      </c>
      <c r="W16" s="4">
        <f>INDEX('All Facts'!Z:Z,MATCH(Recipie!$B16,'All Facts'!$B:$B,0),1)/INDEX('All Facts'!$F:$F,MATCH(Recipie!$B16,'All Facts'!$B:$B,0),1)*$C16</f>
        <v>0</v>
      </c>
    </row>
    <row r="17" spans="1:23" x14ac:dyDescent="0.25">
      <c r="A17" s="4" t="s">
        <v>58</v>
      </c>
      <c r="B17" s="4" t="s">
        <v>45</v>
      </c>
      <c r="C17" s="4">
        <f>SUM(C14:C16)</f>
        <v>170.0684705882353</v>
      </c>
      <c r="D17" s="4">
        <f t="shared" ref="D17:W17" si="2">SUM(D14:D16)</f>
        <v>154.49262745098039</v>
      </c>
      <c r="E17" s="4">
        <f t="shared" si="2"/>
        <v>5</v>
      </c>
      <c r="F17" s="4">
        <f t="shared" si="2"/>
        <v>5.1140274509803927</v>
      </c>
      <c r="G17" s="4">
        <f t="shared" si="2"/>
        <v>21.119733333333336</v>
      </c>
      <c r="H17" s="4">
        <f t="shared" si="2"/>
        <v>1.5</v>
      </c>
      <c r="I17" s="4">
        <f t="shared" si="2"/>
        <v>0</v>
      </c>
      <c r="J17" s="4">
        <f t="shared" si="2"/>
        <v>0</v>
      </c>
      <c r="K17" s="4">
        <f t="shared" si="2"/>
        <v>345.09129411764707</v>
      </c>
      <c r="L17" s="4">
        <f t="shared" si="2"/>
        <v>603.63764705882352</v>
      </c>
      <c r="M17" s="4">
        <f t="shared" si="2"/>
        <v>1</v>
      </c>
      <c r="N17" s="4">
        <f t="shared" si="2"/>
        <v>30</v>
      </c>
      <c r="O17" s="4">
        <f t="shared" si="2"/>
        <v>1.1890537254901963</v>
      </c>
      <c r="P17" s="4">
        <f t="shared" si="2"/>
        <v>6.6704705882352942</v>
      </c>
      <c r="Q17" s="4">
        <f t="shared" si="2"/>
        <v>0</v>
      </c>
      <c r="R17" s="4">
        <f t="shared" si="2"/>
        <v>0</v>
      </c>
      <c r="S17" s="4">
        <f t="shared" si="2"/>
        <v>0</v>
      </c>
      <c r="T17" s="4">
        <f t="shared" si="2"/>
        <v>0</v>
      </c>
      <c r="U17" s="4">
        <f t="shared" si="2"/>
        <v>11.117450980392157</v>
      </c>
      <c r="V17" s="4">
        <f t="shared" si="2"/>
        <v>0.31128862745098035</v>
      </c>
      <c r="W17" s="4">
        <f t="shared" si="2"/>
        <v>4.8916784313725488E-2</v>
      </c>
    </row>
    <row r="19" spans="1:23" ht="30" x14ac:dyDescent="0.25">
      <c r="A19" s="4" t="s">
        <v>1</v>
      </c>
      <c r="B19" s="4" t="s">
        <v>43</v>
      </c>
      <c r="C19" s="4" t="s">
        <v>55</v>
      </c>
      <c r="D19" s="4">
        <f>'All Facts'!G19</f>
        <v>0</v>
      </c>
      <c r="E19" s="4">
        <f>'All Facts'!H19</f>
        <v>0</v>
      </c>
      <c r="F19" s="4">
        <f>'All Facts'!I19</f>
        <v>0</v>
      </c>
      <c r="G19" s="4">
        <f>'All Facts'!J19</f>
        <v>0</v>
      </c>
      <c r="H19" s="4">
        <f>'All Facts'!K19</f>
        <v>0</v>
      </c>
      <c r="I19" s="4">
        <f>'All Facts'!L19</f>
        <v>0</v>
      </c>
      <c r="J19" s="4">
        <f>'All Facts'!M19</f>
        <v>0</v>
      </c>
      <c r="K19" s="4">
        <f>'All Facts'!N19</f>
        <v>0</v>
      </c>
      <c r="L19" s="4">
        <f>'All Facts'!O19</f>
        <v>0</v>
      </c>
      <c r="M19" s="4">
        <f>'All Facts'!P19</f>
        <v>0</v>
      </c>
      <c r="N19" s="4">
        <f>'All Facts'!Q19</f>
        <v>0</v>
      </c>
      <c r="O19" s="4">
        <f>'All Facts'!R19</f>
        <v>0</v>
      </c>
      <c r="P19" s="4">
        <f>'All Facts'!S19</f>
        <v>0</v>
      </c>
      <c r="Q19" s="4">
        <f>'All Facts'!T19</f>
        <v>0</v>
      </c>
      <c r="R19" s="4">
        <f>'All Facts'!U19</f>
        <v>0</v>
      </c>
      <c r="S19" s="4">
        <f>'All Facts'!V19</f>
        <v>0</v>
      </c>
      <c r="T19" s="4">
        <f>'All Facts'!W19</f>
        <v>0</v>
      </c>
      <c r="U19" s="4">
        <f>'All Facts'!X19</f>
        <v>0</v>
      </c>
      <c r="V19" s="4">
        <f>'All Facts'!Y19</f>
        <v>0</v>
      </c>
      <c r="W19" s="4">
        <f>'All Facts'!Z19</f>
        <v>0</v>
      </c>
    </row>
    <row r="20" spans="1:23" ht="30" x14ac:dyDescent="0.25">
      <c r="A20" s="4" t="s">
        <v>64</v>
      </c>
      <c r="B20" s="4" t="s">
        <v>35</v>
      </c>
      <c r="C20" s="4">
        <f>MAX(MROUND(AC2/AE2*C22,AC2),50)</f>
        <v>100</v>
      </c>
      <c r="D20" s="4">
        <f>INDEX('All Facts'!G:G,MATCH(Recipie!$B20,'All Facts'!$B:$B,0),1)/INDEX('All Facts'!$F:$F,MATCH(Recipie!$B20,'All Facts'!$B:$B,0),1)*$C20</f>
        <v>140</v>
      </c>
      <c r="E20" s="4">
        <f>INDEX('All Facts'!H:H,MATCH(Recipie!$B20,'All Facts'!$B:$B,0),1)/INDEX('All Facts'!$F:$F,MATCH(Recipie!$B20,'All Facts'!$B:$B,0),1)*$C20</f>
        <v>10</v>
      </c>
      <c r="F20" s="4">
        <f>INDEX('All Facts'!I:I,MATCH(Recipie!$B20,'All Facts'!$B:$B,0),1)/INDEX('All Facts'!$F:$F,MATCH(Recipie!$B20,'All Facts'!$B:$B,0),1)*$C20</f>
        <v>0</v>
      </c>
      <c r="G20" s="4">
        <f>INDEX('All Facts'!J:J,MATCH(Recipie!$B20,'All Facts'!$B:$B,0),1)/INDEX('All Facts'!$F:$F,MATCH(Recipie!$B20,'All Facts'!$B:$B,0),1)*$C20</f>
        <v>12</v>
      </c>
      <c r="H20" s="4">
        <f>INDEX('All Facts'!K:K,MATCH(Recipie!$B20,'All Facts'!$B:$B,0),1)/INDEX('All Facts'!$F:$F,MATCH(Recipie!$B20,'All Facts'!$B:$B,0),1)*$C20</f>
        <v>3</v>
      </c>
      <c r="I20" s="4">
        <f>INDEX('All Facts'!L:L,MATCH(Recipie!$B20,'All Facts'!$B:$B,0),1)/INDEX('All Facts'!$F:$F,MATCH(Recipie!$B20,'All Facts'!$B:$B,0),1)*$C20</f>
        <v>0</v>
      </c>
      <c r="J20" s="4">
        <f>INDEX('All Facts'!M:M,MATCH(Recipie!$B20,'All Facts'!$B:$B,0),1)/INDEX('All Facts'!$F:$F,MATCH(Recipie!$B20,'All Facts'!$B:$B,0),1)*$C20</f>
        <v>0</v>
      </c>
      <c r="K20" s="4">
        <f>INDEX('All Facts'!N:N,MATCH(Recipie!$B20,'All Facts'!$B:$B,0),1)/INDEX('All Facts'!$F:$F,MATCH(Recipie!$B20,'All Facts'!$B:$B,0),1)*$C20</f>
        <v>370</v>
      </c>
      <c r="L20" s="4">
        <f>INDEX('All Facts'!O:O,MATCH(Recipie!$B20,'All Facts'!$B:$B,0),1)/INDEX('All Facts'!$F:$F,MATCH(Recipie!$B20,'All Facts'!$B:$B,0),1)*$C20</f>
        <v>140</v>
      </c>
      <c r="M20" s="4">
        <f>INDEX('All Facts'!P:P,MATCH(Recipie!$B20,'All Facts'!$B:$B,0),1)/INDEX('All Facts'!$F:$F,MATCH(Recipie!$B20,'All Facts'!$B:$B,0),1)*$C20</f>
        <v>2</v>
      </c>
      <c r="N20" s="4">
        <f>INDEX('All Facts'!Q:Q,MATCH(Recipie!$B20,'All Facts'!$B:$B,0),1)/INDEX('All Facts'!$F:$F,MATCH(Recipie!$B20,'All Facts'!$B:$B,0),1)*$C20</f>
        <v>60</v>
      </c>
      <c r="O20" s="4">
        <f>INDEX('All Facts'!R:R,MATCH(Recipie!$B20,'All Facts'!$B:$B,0),1)/INDEX('All Facts'!$F:$F,MATCH(Recipie!$B20,'All Facts'!$B:$B,0),1)*$C20</f>
        <v>1.8000000000000003</v>
      </c>
      <c r="P20" s="4">
        <f>INDEX('All Facts'!S:S,MATCH(Recipie!$B20,'All Facts'!$B:$B,0),1)/INDEX('All Facts'!$F:$F,MATCH(Recipie!$B20,'All Facts'!$B:$B,0),1)*$C20</f>
        <v>0</v>
      </c>
      <c r="Q20" s="4">
        <f>INDEX('All Facts'!T:T,MATCH(Recipie!$B20,'All Facts'!$B:$B,0),1)/INDEX('All Facts'!$F:$F,MATCH(Recipie!$B20,'All Facts'!$B:$B,0),1)*$C20</f>
        <v>0</v>
      </c>
      <c r="R20" s="4">
        <f>INDEX('All Facts'!U:U,MATCH(Recipie!$B20,'All Facts'!$B:$B,0),1)/INDEX('All Facts'!$F:$F,MATCH(Recipie!$B20,'All Facts'!$B:$B,0),1)*$C20</f>
        <v>0</v>
      </c>
      <c r="S20" s="4">
        <f>INDEX('All Facts'!V:V,MATCH(Recipie!$B20,'All Facts'!$B:$B,0),1)/INDEX('All Facts'!$F:$F,MATCH(Recipie!$B20,'All Facts'!$B:$B,0),1)*$C20</f>
        <v>0</v>
      </c>
      <c r="T20" s="4">
        <f>INDEX('All Facts'!W:W,MATCH(Recipie!$B20,'All Facts'!$B:$B,0),1)/INDEX('All Facts'!$F:$F,MATCH(Recipie!$B20,'All Facts'!$B:$B,0),1)*$C20</f>
        <v>0</v>
      </c>
      <c r="U20" s="4">
        <f>INDEX('All Facts'!X:X,MATCH(Recipie!$B20,'All Facts'!$B:$B,0),1)/INDEX('All Facts'!$F:$F,MATCH(Recipie!$B20,'All Facts'!$B:$B,0),1)*$C20</f>
        <v>0</v>
      </c>
      <c r="V20" s="4">
        <f>INDEX('All Facts'!Y:Y,MATCH(Recipie!$B20,'All Facts'!$B:$B,0),1)/INDEX('All Facts'!$F:$F,MATCH(Recipie!$B20,'All Facts'!$B:$B,0),1)*$C20</f>
        <v>0</v>
      </c>
      <c r="W20" s="4">
        <f>INDEX('All Facts'!Z:Z,MATCH(Recipie!$B20,'All Facts'!$B:$B,0),1)/INDEX('All Facts'!$F:$F,MATCH(Recipie!$B20,'All Facts'!$B:$B,0),1)*$C20</f>
        <v>0</v>
      </c>
    </row>
    <row r="21" spans="1:23" ht="45" x14ac:dyDescent="0.25">
      <c r="A21" s="4" t="s">
        <v>64</v>
      </c>
      <c r="B21" s="4" t="s">
        <v>37</v>
      </c>
      <c r="C21" s="10">
        <f>AC3/AE3*C22</f>
        <v>91.431252700260572</v>
      </c>
      <c r="D21" s="4">
        <f>INDEX('All Facts'!G:G,MATCH(Recipie!$B21,'All Facts'!$B:$B,0),1)/INDEX('All Facts'!$F:$F,MATCH(Recipie!$B21,'All Facts'!$B:$B,0),1)*$C21</f>
        <v>335.24792656762207</v>
      </c>
      <c r="E21" s="4">
        <f>INDEX('All Facts'!H:H,MATCH(Recipie!$B21,'All Facts'!$B:$B,0),1)/INDEX('All Facts'!$F:$F,MATCH(Recipie!$B21,'All Facts'!$B:$B,0),1)*$C21</f>
        <v>0</v>
      </c>
      <c r="F21" s="4">
        <f>INDEX('All Facts'!I:I,MATCH(Recipie!$B21,'All Facts'!$B:$B,0),1)/INDEX('All Facts'!$F:$F,MATCH(Recipie!$B21,'All Facts'!$B:$B,0),1)*$C21</f>
        <v>70.097293736866447</v>
      </c>
      <c r="G21" s="4">
        <f>INDEX('All Facts'!J:J,MATCH(Recipie!$B21,'All Facts'!$B:$B,0),1)/INDEX('All Facts'!$F:$F,MATCH(Recipie!$B21,'All Facts'!$B:$B,0),1)*$C21</f>
        <v>6.0954168466840377</v>
      </c>
      <c r="H21" s="4">
        <f>INDEX('All Facts'!K:K,MATCH(Recipie!$B21,'All Facts'!$B:$B,0),1)/INDEX('All Facts'!$F:$F,MATCH(Recipie!$B21,'All Facts'!$B:$B,0),1)*$C21</f>
        <v>0</v>
      </c>
      <c r="I21" s="4">
        <f>INDEX('All Facts'!L:L,MATCH(Recipie!$B21,'All Facts'!$B:$B,0),1)/INDEX('All Facts'!$F:$F,MATCH(Recipie!$B21,'All Facts'!$B:$B,0),1)*$C21</f>
        <v>0</v>
      </c>
      <c r="J21" s="4">
        <f>INDEX('All Facts'!M:M,MATCH(Recipie!$B21,'All Facts'!$B:$B,0),1)/INDEX('All Facts'!$F:$F,MATCH(Recipie!$B21,'All Facts'!$B:$B,0),1)*$C21</f>
        <v>0</v>
      </c>
      <c r="K21" s="4">
        <f>INDEX('All Facts'!N:N,MATCH(Recipie!$B21,'All Facts'!$B:$B,0),1)/INDEX('All Facts'!$F:$F,MATCH(Recipie!$B21,'All Facts'!$B:$B,0),1)*$C21</f>
        <v>0</v>
      </c>
      <c r="L21" s="4">
        <f>INDEX('All Facts'!O:O,MATCH(Recipie!$B21,'All Facts'!$B:$B,0),1)/INDEX('All Facts'!$F:$F,MATCH(Recipie!$B21,'All Facts'!$B:$B,0),1)*$C21</f>
        <v>0</v>
      </c>
      <c r="M21" s="4">
        <f>INDEX('All Facts'!P:P,MATCH(Recipie!$B21,'All Facts'!$B:$B,0),1)/INDEX('All Facts'!$F:$F,MATCH(Recipie!$B21,'All Facts'!$B:$B,0),1)*$C21</f>
        <v>0</v>
      </c>
      <c r="N21" s="4">
        <f>INDEX('All Facts'!Q:Q,MATCH(Recipie!$B21,'All Facts'!$B:$B,0),1)/INDEX('All Facts'!$F:$F,MATCH(Recipie!$B21,'All Facts'!$B:$B,0),1)*$C21</f>
        <v>0</v>
      </c>
      <c r="O21" s="4">
        <f>INDEX('All Facts'!R:R,MATCH(Recipie!$B21,'All Facts'!$B:$B,0),1)/INDEX('All Facts'!$F:$F,MATCH(Recipie!$B21,'All Facts'!$B:$B,0),1)*$C21</f>
        <v>3.9620209503446251</v>
      </c>
      <c r="P21" s="4">
        <f>INDEX('All Facts'!S:S,MATCH(Recipie!$B21,'All Facts'!$B:$B,0),1)/INDEX('All Facts'!$F:$F,MATCH(Recipie!$B21,'All Facts'!$B:$B,0),1)*$C21</f>
        <v>91.431252700260572</v>
      </c>
      <c r="Q21" s="4">
        <f>INDEX('All Facts'!T:T,MATCH(Recipie!$B21,'All Facts'!$B:$B,0),1)/INDEX('All Facts'!$F:$F,MATCH(Recipie!$B21,'All Facts'!$B:$B,0),1)*$C21</f>
        <v>0</v>
      </c>
      <c r="R21" s="4">
        <f>INDEX('All Facts'!U:U,MATCH(Recipie!$B21,'All Facts'!$B:$B,0),1)/INDEX('All Facts'!$F:$F,MATCH(Recipie!$B21,'All Facts'!$B:$B,0),1)*$C21</f>
        <v>0</v>
      </c>
      <c r="S21" s="4">
        <f>INDEX('All Facts'!V:V,MATCH(Recipie!$B21,'All Facts'!$B:$B,0),1)/INDEX('All Facts'!$F:$F,MATCH(Recipie!$B21,'All Facts'!$B:$B,0),1)*$C21</f>
        <v>0</v>
      </c>
      <c r="T21" s="4">
        <f>INDEX('All Facts'!W:W,MATCH(Recipie!$B21,'All Facts'!$B:$B,0),1)/INDEX('All Facts'!$F:$F,MATCH(Recipie!$B21,'All Facts'!$B:$B,0),1)*$C21</f>
        <v>0</v>
      </c>
      <c r="U21" s="4">
        <f>INDEX('All Facts'!X:X,MATCH(Recipie!$B21,'All Facts'!$B:$B,0),1)/INDEX('All Facts'!$F:$F,MATCH(Recipie!$B21,'All Facts'!$B:$B,0),1)*$C21</f>
        <v>152.38542116710096</v>
      </c>
      <c r="V21" s="4">
        <f>INDEX('All Facts'!Y:Y,MATCH(Recipie!$B21,'All Facts'!$B:$B,0),1)/INDEX('All Facts'!$F:$F,MATCH(Recipie!$B21,'All Facts'!$B:$B,0),1)*$C21</f>
        <v>4.2667917926788261</v>
      </c>
      <c r="W21" s="4">
        <f>INDEX('All Facts'!Z:Z,MATCH(Recipie!$B21,'All Facts'!$B:$B,0),1)/INDEX('All Facts'!$F:$F,MATCH(Recipie!$B21,'All Facts'!$B:$B,0),1)*$C21</f>
        <v>0.67049585313524418</v>
      </c>
    </row>
    <row r="22" spans="1:23" ht="30" x14ac:dyDescent="0.25">
      <c r="A22" s="4" t="s">
        <v>64</v>
      </c>
      <c r="B22" s="4" t="s">
        <v>21</v>
      </c>
      <c r="C22" s="11">
        <f>Solver!C15</f>
        <v>853.35835853576543</v>
      </c>
      <c r="D22" s="4">
        <f>INDEX('All Facts'!G:G,MATCH(Recipie!$B22,'All Facts'!$B:$B,0),1)/INDEX('All Facts'!$F:$F,MATCH(Recipie!$B22,'All Facts'!$B:$B,0),1)*$C22</f>
        <v>838.11981641905527</v>
      </c>
      <c r="E22" s="4">
        <f>INDEX('All Facts'!H:H,MATCH(Recipie!$B22,'All Facts'!$B:$B,0),1)/INDEX('All Facts'!$F:$F,MATCH(Recipie!$B22,'All Facts'!$B:$B,0),1)*$C22</f>
        <v>7.6192710583550483</v>
      </c>
      <c r="F22" s="4">
        <f>INDEX('All Facts'!I:I,MATCH(Recipie!$B22,'All Facts'!$B:$B,0),1)/INDEX('All Facts'!$F:$F,MATCH(Recipie!$B22,'All Facts'!$B:$B,0),1)*$C22</f>
        <v>0</v>
      </c>
      <c r="G22" s="4">
        <f>INDEX('All Facts'!J:J,MATCH(Recipie!$B22,'All Facts'!$B:$B,0),1)/INDEX('All Facts'!$F:$F,MATCH(Recipie!$B22,'All Facts'!$B:$B,0),1)*$C22</f>
        <v>190.48177645887623</v>
      </c>
      <c r="H22" s="4">
        <f>INDEX('All Facts'!K:K,MATCH(Recipie!$B22,'All Facts'!$B:$B,0),1)/INDEX('All Facts'!$F:$F,MATCH(Recipie!$B22,'All Facts'!$B:$B,0),1)*$C22</f>
        <v>0</v>
      </c>
      <c r="I22" s="4">
        <f>INDEX('All Facts'!L:L,MATCH(Recipie!$B22,'All Facts'!$B:$B,0),1)/INDEX('All Facts'!$F:$F,MATCH(Recipie!$B22,'All Facts'!$B:$B,0),1)*$C22</f>
        <v>0</v>
      </c>
      <c r="J22" s="4">
        <f>INDEX('All Facts'!M:M,MATCH(Recipie!$B22,'All Facts'!$B:$B,0),1)/INDEX('All Facts'!$F:$F,MATCH(Recipie!$B22,'All Facts'!$B:$B,0),1)*$C22</f>
        <v>0</v>
      </c>
      <c r="K22" s="4">
        <f>INDEX('All Facts'!N:N,MATCH(Recipie!$B22,'All Facts'!$B:$B,0),1)/INDEX('All Facts'!$F:$F,MATCH(Recipie!$B22,'All Facts'!$B:$B,0),1)*$C22</f>
        <v>609.54168466840395</v>
      </c>
      <c r="L22" s="4">
        <f>INDEX('All Facts'!O:O,MATCH(Recipie!$B22,'All Facts'!$B:$B,0),1)/INDEX('All Facts'!$F:$F,MATCH(Recipie!$B22,'All Facts'!$B:$B,0),1)*$C22</f>
        <v>571.44532937662859</v>
      </c>
      <c r="M22" s="4">
        <f>INDEX('All Facts'!P:P,MATCH(Recipie!$B22,'All Facts'!$B:$B,0),1)/INDEX('All Facts'!$F:$F,MATCH(Recipie!$B22,'All Facts'!$B:$B,0),1)*$C22</f>
        <v>0</v>
      </c>
      <c r="N22" s="4">
        <f>INDEX('All Facts'!Q:Q,MATCH(Recipie!$B22,'All Facts'!$B:$B,0),1)/INDEX('All Facts'!$F:$F,MATCH(Recipie!$B22,'All Facts'!$B:$B,0),1)*$C22</f>
        <v>0</v>
      </c>
      <c r="O22" s="4">
        <f>INDEX('All Facts'!R:R,MATCH(Recipie!$B22,'All Facts'!$B:$B,0),1)/INDEX('All Facts'!$F:$F,MATCH(Recipie!$B22,'All Facts'!$B:$B,0),1)*$C22</f>
        <v>2.7429375810078174</v>
      </c>
      <c r="P22" s="4">
        <f>INDEX('All Facts'!S:S,MATCH(Recipie!$B22,'All Facts'!$B:$B,0),1)/INDEX('All Facts'!$F:$F,MATCH(Recipie!$B22,'All Facts'!$B:$B,0),1)*$C22</f>
        <v>0</v>
      </c>
      <c r="Q22" s="4">
        <f>INDEX('All Facts'!T:T,MATCH(Recipie!$B22,'All Facts'!$B:$B,0),1)/INDEX('All Facts'!$F:$F,MATCH(Recipie!$B22,'All Facts'!$B:$B,0),1)*$C22</f>
        <v>0</v>
      </c>
      <c r="R22" s="4">
        <f>INDEX('All Facts'!U:U,MATCH(Recipie!$B22,'All Facts'!$B:$B,0),1)/INDEX('All Facts'!$F:$F,MATCH(Recipie!$B22,'All Facts'!$B:$B,0),1)*$C22</f>
        <v>0</v>
      </c>
      <c r="S22" s="4">
        <f>INDEX('All Facts'!V:V,MATCH(Recipie!$B22,'All Facts'!$B:$B,0),1)/INDEX('All Facts'!$F:$F,MATCH(Recipie!$B22,'All Facts'!$B:$B,0),1)*$C22</f>
        <v>0</v>
      </c>
      <c r="T22" s="4">
        <f>INDEX('All Facts'!W:W,MATCH(Recipie!$B22,'All Facts'!$B:$B,0),1)/INDEX('All Facts'!$F:$F,MATCH(Recipie!$B22,'All Facts'!$B:$B,0),1)*$C22</f>
        <v>0</v>
      </c>
      <c r="U22" s="4">
        <f>INDEX('All Facts'!X:X,MATCH(Recipie!$B22,'All Facts'!$B:$B,0),1)/INDEX('All Facts'!$F:$F,MATCH(Recipie!$B22,'All Facts'!$B:$B,0),1)*$C22</f>
        <v>0</v>
      </c>
      <c r="V22" s="4">
        <f>INDEX('All Facts'!Y:Y,MATCH(Recipie!$B22,'All Facts'!$B:$B,0),1)/INDEX('All Facts'!$F:$F,MATCH(Recipie!$B22,'All Facts'!$B:$B,0),1)*$C22</f>
        <v>0</v>
      </c>
      <c r="W22" s="4">
        <f>INDEX('All Facts'!Z:Z,MATCH(Recipie!$B22,'All Facts'!$B:$B,0),1)/INDEX('All Facts'!$F:$F,MATCH(Recipie!$B22,'All Facts'!$B:$B,0),1)*$C22</f>
        <v>0</v>
      </c>
    </row>
    <row r="23" spans="1:23" ht="30" x14ac:dyDescent="0.25">
      <c r="A23" s="4" t="s">
        <v>64</v>
      </c>
      <c r="B23" s="4" t="s">
        <v>45</v>
      </c>
      <c r="C23" s="4">
        <f>SUM(C20:C22)</f>
        <v>1044.7896112360261</v>
      </c>
      <c r="D23" s="4">
        <f t="shared" ref="D23:W23" si="3">SUM(D20:D22)</f>
        <v>1313.3677429866773</v>
      </c>
      <c r="E23" s="4">
        <f t="shared" si="3"/>
        <v>17.619271058355046</v>
      </c>
      <c r="F23" s="4">
        <f t="shared" si="3"/>
        <v>70.097293736866447</v>
      </c>
      <c r="G23" s="4">
        <f t="shared" si="3"/>
        <v>208.57719330556026</v>
      </c>
      <c r="H23" s="4">
        <f t="shared" si="3"/>
        <v>3</v>
      </c>
      <c r="I23" s="4">
        <f t="shared" si="3"/>
        <v>0</v>
      </c>
      <c r="J23" s="4">
        <f t="shared" si="3"/>
        <v>0</v>
      </c>
      <c r="K23" s="4">
        <f t="shared" si="3"/>
        <v>979.54168466840395</v>
      </c>
      <c r="L23" s="4">
        <f t="shared" si="3"/>
        <v>711.44532937662859</v>
      </c>
      <c r="M23" s="4">
        <f t="shared" si="3"/>
        <v>2</v>
      </c>
      <c r="N23" s="4">
        <f t="shared" si="3"/>
        <v>60</v>
      </c>
      <c r="O23" s="4">
        <f t="shared" si="3"/>
        <v>8.5049585313524432</v>
      </c>
      <c r="P23" s="4">
        <f t="shared" si="3"/>
        <v>91.431252700260572</v>
      </c>
      <c r="Q23" s="4">
        <f t="shared" si="3"/>
        <v>0</v>
      </c>
      <c r="R23" s="4">
        <f t="shared" si="3"/>
        <v>0</v>
      </c>
      <c r="S23" s="4">
        <f t="shared" si="3"/>
        <v>0</v>
      </c>
      <c r="T23" s="4">
        <f t="shared" si="3"/>
        <v>0</v>
      </c>
      <c r="U23" s="4">
        <f t="shared" si="3"/>
        <v>152.38542116710096</v>
      </c>
      <c r="V23" s="4">
        <f t="shared" si="3"/>
        <v>4.2667917926788261</v>
      </c>
      <c r="W23" s="4">
        <f t="shared" si="3"/>
        <v>0.67049585313524418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2808B-84FA-4052-BDB8-7F6005595D48}">
  <dimension ref="A1:AW34"/>
  <sheetViews>
    <sheetView topLeftCell="I1" workbookViewId="0">
      <selection activeCell="K13" sqref="K13"/>
    </sheetView>
  </sheetViews>
  <sheetFormatPr defaultRowHeight="15" x14ac:dyDescent="0.25"/>
  <cols>
    <col min="2" max="2" width="15.7109375" bestFit="1" customWidth="1"/>
    <col min="3" max="3" width="6.5703125" bestFit="1" customWidth="1"/>
    <col min="4" max="4" width="11.85546875" bestFit="1" customWidth="1"/>
    <col min="5" max="5" width="12" bestFit="1" customWidth="1"/>
    <col min="6" max="6" width="9.5703125" bestFit="1" customWidth="1"/>
    <col min="7" max="7" width="10.5703125" bestFit="1" customWidth="1"/>
    <col min="8" max="8" width="10" bestFit="1" customWidth="1"/>
    <col min="9" max="9" width="13.7109375" bestFit="1" customWidth="1"/>
    <col min="10" max="10" width="15" customWidth="1"/>
    <col min="11" max="11" width="11.28515625" customWidth="1"/>
    <col min="12" max="12" width="11.5703125" bestFit="1" customWidth="1"/>
    <col min="13" max="13" width="8.5703125" bestFit="1" customWidth="1"/>
    <col min="14" max="14" width="10.5703125" bestFit="1" customWidth="1"/>
    <col min="15" max="15" width="8.5703125" bestFit="1" customWidth="1"/>
    <col min="16" max="16" width="11.5703125" bestFit="1" customWidth="1"/>
    <col min="17" max="18" width="8.5703125" bestFit="1" customWidth="1"/>
    <col min="19" max="19" width="9.5703125" bestFit="1" customWidth="1"/>
    <col min="20" max="20" width="8.5703125" bestFit="1" customWidth="1"/>
    <col min="21" max="21" width="9.5703125" bestFit="1" customWidth="1"/>
    <col min="22" max="23" width="8.5703125" bestFit="1" customWidth="1"/>
    <col min="24" max="24" width="9.5703125" bestFit="1" customWidth="1"/>
    <col min="25" max="25" width="7.5703125" bestFit="1" customWidth="1"/>
    <col min="26" max="26" width="17.28515625" bestFit="1" customWidth="1"/>
    <col min="28" max="28" width="6.5703125" bestFit="1" customWidth="1"/>
  </cols>
  <sheetData>
    <row r="1" spans="1:49" ht="60" x14ac:dyDescent="0.25">
      <c r="A1" t="s">
        <v>46</v>
      </c>
      <c r="B1" t="s">
        <v>1</v>
      </c>
      <c r="C1" t="s">
        <v>44</v>
      </c>
      <c r="D1" s="4" t="s">
        <v>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26</v>
      </c>
      <c r="R1" s="4" t="s">
        <v>27</v>
      </c>
      <c r="S1" s="4" t="s">
        <v>28</v>
      </c>
      <c r="T1" s="4" t="s">
        <v>29</v>
      </c>
      <c r="U1" s="4" t="s">
        <v>39</v>
      </c>
      <c r="V1" s="4" t="s">
        <v>40</v>
      </c>
      <c r="W1" s="4" t="s">
        <v>41</v>
      </c>
      <c r="Z1" t="s">
        <v>30</v>
      </c>
      <c r="AA1" t="s">
        <v>47</v>
      </c>
      <c r="AB1" t="s">
        <v>44</v>
      </c>
      <c r="AC1" s="4" t="s">
        <v>8</v>
      </c>
      <c r="AD1" s="4" t="s">
        <v>9</v>
      </c>
      <c r="AE1" s="4" t="s">
        <v>10</v>
      </c>
      <c r="AF1" s="4" t="s">
        <v>11</v>
      </c>
      <c r="AG1" s="4" t="s">
        <v>12</v>
      </c>
      <c r="AH1" s="4" t="s">
        <v>13</v>
      </c>
      <c r="AI1" s="4" t="s">
        <v>14</v>
      </c>
      <c r="AJ1" s="4" t="s">
        <v>15</v>
      </c>
      <c r="AK1" s="4" t="s">
        <v>16</v>
      </c>
      <c r="AL1" s="4" t="s">
        <v>17</v>
      </c>
      <c r="AM1" s="4" t="s">
        <v>18</v>
      </c>
      <c r="AN1" s="4" t="s">
        <v>19</v>
      </c>
      <c r="AO1" s="4" t="s">
        <v>20</v>
      </c>
      <c r="AP1" s="4" t="s">
        <v>26</v>
      </c>
      <c r="AQ1" s="4" t="s">
        <v>27</v>
      </c>
      <c r="AR1" s="4" t="s">
        <v>28</v>
      </c>
      <c r="AS1" s="4" t="s">
        <v>29</v>
      </c>
      <c r="AT1" s="4" t="s">
        <v>39</v>
      </c>
      <c r="AU1" s="4" t="s">
        <v>40</v>
      </c>
      <c r="AV1" s="4" t="s">
        <v>41</v>
      </c>
      <c r="AW1" s="4" t="s">
        <v>52</v>
      </c>
    </row>
    <row r="2" spans="1:49" ht="45" x14ac:dyDescent="0.25">
      <c r="B2" s="4" t="s">
        <v>74</v>
      </c>
      <c r="C2">
        <v>115</v>
      </c>
      <c r="D2" s="4">
        <f>INDEX('All Facts'!G:G,MATCH(Solver!$B2,'All Facts'!$B:$B,0),1)/INDEX('All Facts'!$F:$F,MATCH(Solver!$B2,'All Facts'!$B:$B,0),1)*$C2</f>
        <v>111.94690265486726</v>
      </c>
      <c r="E2" s="4">
        <f>INDEX('All Facts'!H:H,MATCH(Solver!$B2,'All Facts'!$B:$B,0),1)/INDEX('All Facts'!$F:$F,MATCH(Solver!$B2,'All Facts'!$B:$B,0),1)*$C2</f>
        <v>5.0884955752212386</v>
      </c>
      <c r="F2" s="4">
        <f>INDEX('All Facts'!I:I,MATCH(Solver!$B2,'All Facts'!$B:$B,0),1)/INDEX('All Facts'!$F:$F,MATCH(Solver!$B2,'All Facts'!$B:$B,0),1)*$C2</f>
        <v>5.0884955752212386</v>
      </c>
      <c r="G2" s="4">
        <f>INDEX('All Facts'!J:J,MATCH(Solver!$B2,'All Facts'!$B:$B,0),1)/INDEX('All Facts'!$F:$F,MATCH(Solver!$B2,'All Facts'!$B:$B,0),1)*$C2</f>
        <v>12.212389380530974</v>
      </c>
      <c r="H2" s="4">
        <f>INDEX('All Facts'!K:K,MATCH(Solver!$B2,'All Facts'!$B:$B,0),1)/INDEX('All Facts'!$F:$F,MATCH(Solver!$B2,'All Facts'!$B:$B,0),1)*$C2</f>
        <v>3.0530973451327434</v>
      </c>
      <c r="I2" s="4">
        <f>INDEX('All Facts'!L:L,MATCH(Solver!$B2,'All Facts'!$B:$B,0),1)/INDEX('All Facts'!$F:$F,MATCH(Solver!$B2,'All Facts'!$B:$B,0),1)*$C2</f>
        <v>0</v>
      </c>
      <c r="J2" s="4">
        <f>INDEX('All Facts'!M:M,MATCH(Solver!$B2,'All Facts'!$B:$B,0),1)/INDEX('All Facts'!$F:$F,MATCH(Solver!$B2,'All Facts'!$B:$B,0),1)*$C2</f>
        <v>0</v>
      </c>
      <c r="K2" s="4">
        <f>INDEX('All Facts'!N:N,MATCH(Solver!$B2,'All Facts'!$B:$B,0),1)/INDEX('All Facts'!$F:$F,MATCH(Solver!$B2,'All Facts'!$B:$B,0),1)*$C2</f>
        <v>25.442477876106196</v>
      </c>
      <c r="L2" s="4">
        <f>INDEX('All Facts'!O:O,MATCH(Solver!$B2,'All Facts'!$B:$B,0),1)/INDEX('All Facts'!$F:$F,MATCH(Solver!$B2,'All Facts'!$B:$B,0),1)*$C2</f>
        <v>417.25663716814159</v>
      </c>
      <c r="M2" s="4">
        <f>INDEX('All Facts'!P:P,MATCH(Solver!$B2,'All Facts'!$B:$B,0),1)/INDEX('All Facts'!$F:$F,MATCH(Solver!$B2,'All Facts'!$B:$B,0),1)*$C2</f>
        <v>0</v>
      </c>
      <c r="N2" s="4">
        <f>INDEX('All Facts'!Q:Q,MATCH(Solver!$B2,'All Facts'!$B:$B,0),1)/INDEX('All Facts'!$F:$F,MATCH(Solver!$B2,'All Facts'!$B:$B,0),1)*$C2</f>
        <v>105.84070796460176</v>
      </c>
      <c r="O2" s="4">
        <f>INDEX('All Facts'!R:R,MATCH(Solver!$B2,'All Facts'!$B:$B,0),1)/INDEX('All Facts'!$F:$F,MATCH(Solver!$B2,'All Facts'!$B:$B,0),1)*$C2</f>
        <v>0</v>
      </c>
      <c r="P2" s="4">
        <f>INDEX('All Facts'!S:S,MATCH(Solver!$B2,'All Facts'!$B:$B,0),1)/INDEX('All Facts'!$F:$F,MATCH(Solver!$B2,'All Facts'!$B:$B,0),1)*$C2</f>
        <v>191.32743362831857</v>
      </c>
      <c r="Q2" s="4">
        <f>INDEX('All Facts'!T:T,MATCH(Solver!$B2,'All Facts'!$B:$B,0),1)/INDEX('All Facts'!$F:$F,MATCH(Solver!$B2,'All Facts'!$B:$B,0),1)*$C2</f>
        <v>0</v>
      </c>
      <c r="R2" s="4">
        <f>INDEX('All Facts'!U:U,MATCH(Solver!$B2,'All Facts'!$B:$B,0),1)/INDEX('All Facts'!$F:$F,MATCH(Solver!$B2,'All Facts'!$B:$B,0),1)*$C2</f>
        <v>4.0707964601769913</v>
      </c>
      <c r="S2" s="4">
        <f>INDEX('All Facts'!V:V,MATCH(Solver!$B2,'All Facts'!$B:$B,0),1)/INDEX('All Facts'!$F:$F,MATCH(Solver!$B2,'All Facts'!$B:$B,0),1)*$C2</f>
        <v>0</v>
      </c>
      <c r="T2" s="4">
        <f>INDEX('All Facts'!W:W,MATCH(Solver!$B2,'All Facts'!$B:$B,0),1)/INDEX('All Facts'!$F:$F,MATCH(Solver!$B2,'All Facts'!$B:$B,0),1)*$C2</f>
        <v>0</v>
      </c>
      <c r="U2" s="4">
        <f>INDEX('All Facts'!X:X,MATCH(Solver!$B2,'All Facts'!$B:$B,0),1)/INDEX('All Facts'!$F:$F,MATCH(Solver!$B2,'All Facts'!$B:$B,0),1)*$C2</f>
        <v>0</v>
      </c>
      <c r="V2" s="4">
        <f>INDEX('All Facts'!Y:Y,MATCH(Solver!$B2,'All Facts'!$B:$B,0),1)/INDEX('All Facts'!$F:$F,MATCH(Solver!$B2,'All Facts'!$B:$B,0),1)*$C2</f>
        <v>0</v>
      </c>
      <c r="W2" s="4">
        <f>INDEX('All Facts'!Z:Z,MATCH(Solver!$B2,'All Facts'!$B:$B,0),1)/INDEX('All Facts'!$F:$F,MATCH(Solver!$B2,'All Facts'!$B:$B,0),1)*$C2</f>
        <v>0</v>
      </c>
      <c r="Z2" t="s">
        <v>75</v>
      </c>
      <c r="AA2">
        <v>1</v>
      </c>
      <c r="AB2" s="6">
        <v>63.199347906464681</v>
      </c>
      <c r="AC2">
        <f>INDEX('All Facts'!G:G,MATCH(Solver!$Z$1,'All Facts'!$B:$B,0),1)/INDEX('All Facts'!$F:$F,MATCH(Solver!$Z$1,'All Facts'!$B:$B,0),1)*$AB2</f>
        <v>355.49633197386385</v>
      </c>
      <c r="AD2">
        <f>INDEX('All Facts'!H:H,MATCH(Solver!$Z$1,'All Facts'!$B:$B,0),1)/INDEX('All Facts'!$F:$F,MATCH(Solver!$Z$1,'All Facts'!$B:$B,0),1)*$AB2</f>
        <v>29.624694331155318</v>
      </c>
      <c r="AE2">
        <f>INDEX('All Facts'!I:I,MATCH(Solver!$Z$1,'All Facts'!$B:$B,0),1)/INDEX('All Facts'!$F:$F,MATCH(Solver!$Z$1,'All Facts'!$B:$B,0),1)*$AB2</f>
        <v>13.824857354539148</v>
      </c>
      <c r="AF2">
        <f>INDEX('All Facts'!J:J,MATCH(Solver!$Z$1,'All Facts'!$B:$B,0),1)/INDEX('All Facts'!$F:$F,MATCH(Solver!$Z$1,'All Facts'!$B:$B,0),1)*$AB2</f>
        <v>13.824857354539148</v>
      </c>
      <c r="AG2">
        <f>INDEX('All Facts'!K:K,MATCH(Solver!$Z$1,'All Facts'!$B:$B,0),1)/INDEX('All Facts'!$F:$F,MATCH(Solver!$Z$1,'All Facts'!$B:$B,0),1)*$AB2</f>
        <v>4.9374490551925536</v>
      </c>
      <c r="AH2">
        <f>INDEX('All Facts'!L:L,MATCH(Solver!$Z$1,'All Facts'!$B:$B,0),1)/INDEX('All Facts'!$F:$F,MATCH(Solver!$Z$1,'All Facts'!$B:$B,0),1)*$AB2</f>
        <v>0</v>
      </c>
      <c r="AI2">
        <f>INDEX('All Facts'!M:M,MATCH(Solver!$Z$1,'All Facts'!$B:$B,0),1)/INDEX('All Facts'!$F:$F,MATCH(Solver!$Z$1,'All Facts'!$B:$B,0),1)*$AB2</f>
        <v>0</v>
      </c>
      <c r="AJ2">
        <f>INDEX('All Facts'!N:N,MATCH(Solver!$Z$1,'All Facts'!$B:$B,0),1)/INDEX('All Facts'!$F:$F,MATCH(Solver!$Z$1,'All Facts'!$B:$B,0),1)*$AB2</f>
        <v>0</v>
      </c>
      <c r="AK2">
        <f>INDEX('All Facts'!O:O,MATCH(Solver!$Z$1,'All Facts'!$B:$B,0),1)/INDEX('All Facts'!$F:$F,MATCH(Solver!$Z$1,'All Facts'!$B:$B,0),1)*$AB2</f>
        <v>296.2469433115532</v>
      </c>
      <c r="AL2">
        <f>INDEX('All Facts'!P:P,MATCH(Solver!$Z$1,'All Facts'!$B:$B,0),1)/INDEX('All Facts'!$F:$F,MATCH(Solver!$Z$1,'All Facts'!$B:$B,0),1)*$AB2</f>
        <v>0</v>
      </c>
      <c r="AM2">
        <f>INDEX('All Facts'!Q:Q,MATCH(Solver!$Z$1,'All Facts'!$B:$B,0),1)/INDEX('All Facts'!$F:$F,MATCH(Solver!$Z$1,'All Facts'!$B:$B,0),1)*$AB2</f>
        <v>59.249388662310636</v>
      </c>
      <c r="AN2">
        <f>INDEX('All Facts'!R:R,MATCH(Solver!$Z$1,'All Facts'!$B:$B,0),1)/INDEX('All Facts'!$F:$F,MATCH(Solver!$Z$1,'All Facts'!$B:$B,0),1)*$AB2</f>
        <v>1.9749796220770213</v>
      </c>
      <c r="AO2">
        <f>INDEX('All Facts'!S:S,MATCH(Solver!$Z$1,'All Facts'!$B:$B,0),1)/INDEX('All Facts'!$F:$F,MATCH(Solver!$Z$1,'All Facts'!$B:$B,0),1)*$AB2</f>
        <v>414.74572063617444</v>
      </c>
      <c r="AP2">
        <f>INDEX('All Facts'!T:T,MATCH(Solver!$Z$1,'All Facts'!$B:$B,0),1)/INDEX('All Facts'!$F:$F,MATCH(Solver!$Z$1,'All Facts'!$B:$B,0),1)*$AB2</f>
        <v>3.9499592441540425</v>
      </c>
      <c r="AQ2">
        <f>INDEX('All Facts'!U:U,MATCH(Solver!$Z$1,'All Facts'!$B:$B,0),1)/INDEX('All Facts'!$F:$F,MATCH(Solver!$Z$1,'All Facts'!$B:$B,0),1)*$AB2</f>
        <v>7.8999184883080851</v>
      </c>
      <c r="AR2">
        <f>INDEX('All Facts'!V:V,MATCH(Solver!$Z$1,'All Facts'!$B:$B,0),1)/INDEX('All Facts'!$F:$F,MATCH(Solver!$Z$1,'All Facts'!$B:$B,0),1)*$AB2</f>
        <v>0</v>
      </c>
      <c r="AS2">
        <f>INDEX('All Facts'!W:W,MATCH(Solver!$Z$1,'All Facts'!$B:$B,0),1)/INDEX('All Facts'!$F:$F,MATCH(Solver!$Z$1,'All Facts'!$B:$B,0),1)*$AB2</f>
        <v>0</v>
      </c>
      <c r="AT2">
        <f>INDEX('All Facts'!X:X,MATCH(Solver!$Z$1,'All Facts'!$B:$B,0),1)/INDEX('All Facts'!$F:$F,MATCH(Solver!$Z$1,'All Facts'!$B:$B,0),1)*$AB2</f>
        <v>0</v>
      </c>
      <c r="AU2">
        <f>INDEX('All Facts'!Y:Y,MATCH(Solver!$Z$1,'All Facts'!$B:$B,0),1)/INDEX('All Facts'!$F:$F,MATCH(Solver!$Z$1,'All Facts'!$B:$B,0),1)*$AB2</f>
        <v>0</v>
      </c>
      <c r="AV2">
        <f>INDEX('All Facts'!Z:Z,MATCH(Solver!$Z$1,'All Facts'!$B:$B,0),1)/INDEX('All Facts'!$F:$F,MATCH(Solver!$Z$1,'All Facts'!$B:$B,0),1)*$AB2</f>
        <v>0</v>
      </c>
      <c r="AW2" s="7">
        <f>ROUNDDOWN(6/28*Solver!AB2,0)</f>
        <v>13</v>
      </c>
    </row>
    <row r="3" spans="1:49" ht="30" x14ac:dyDescent="0.25">
      <c r="B3" s="4" t="s">
        <v>24</v>
      </c>
      <c r="C3" s="12">
        <v>100</v>
      </c>
      <c r="D3" s="4">
        <f>INDEX('All Facts'!G:G,MATCH(Solver!$B3,'All Facts'!$B:$B,0),1)/INDEX('All Facts'!$F:$F,MATCH(Solver!$B3,'All Facts'!$B:$B,0),1)*$C3</f>
        <v>74.324324324324323</v>
      </c>
      <c r="E3" s="4">
        <f>INDEX('All Facts'!H:H,MATCH(Solver!$B3,'All Facts'!$B:$B,0),1)/INDEX('All Facts'!$F:$F,MATCH(Solver!$B3,'All Facts'!$B:$B,0),1)*$C3</f>
        <v>0</v>
      </c>
      <c r="F3" s="4">
        <f>INDEX('All Facts'!I:I,MATCH(Solver!$B3,'All Facts'!$B:$B,0),1)/INDEX('All Facts'!$F:$F,MATCH(Solver!$B3,'All Facts'!$B:$B,0),1)*$C3</f>
        <v>17.567567567567568</v>
      </c>
      <c r="G3" s="4">
        <f>INDEX('All Facts'!J:J,MATCH(Solver!$B3,'All Facts'!$B:$B,0),1)/INDEX('All Facts'!$F:$F,MATCH(Solver!$B3,'All Facts'!$B:$B,0),1)*$C3</f>
        <v>2.0270270270270272</v>
      </c>
      <c r="H3" s="4">
        <f>INDEX('All Facts'!K:K,MATCH(Solver!$B3,'All Facts'!$B:$B,0),1)/INDEX('All Facts'!$F:$F,MATCH(Solver!$B3,'All Facts'!$B:$B,0),1)*$C3</f>
        <v>0</v>
      </c>
      <c r="I3" s="4">
        <f>INDEX('All Facts'!L:L,MATCH(Solver!$B3,'All Facts'!$B:$B,0),1)/INDEX('All Facts'!$F:$F,MATCH(Solver!$B3,'All Facts'!$B:$B,0),1)*$C3</f>
        <v>0</v>
      </c>
      <c r="J3" s="4">
        <f>INDEX('All Facts'!M:M,MATCH(Solver!$B3,'All Facts'!$B:$B,0),1)/INDEX('All Facts'!$F:$F,MATCH(Solver!$B3,'All Facts'!$B:$B,0),1)*$C3</f>
        <v>0</v>
      </c>
      <c r="K3" s="4">
        <f>INDEX('All Facts'!N:N,MATCH(Solver!$B3,'All Facts'!$B:$B,0),1)/INDEX('All Facts'!$F:$F,MATCH(Solver!$B3,'All Facts'!$B:$B,0),1)*$C3</f>
        <v>0</v>
      </c>
      <c r="L3" s="4">
        <f>INDEX('All Facts'!O:O,MATCH(Solver!$B3,'All Facts'!$B:$B,0),1)/INDEX('All Facts'!$F:$F,MATCH(Solver!$B3,'All Facts'!$B:$B,0),1)*$C3</f>
        <v>0</v>
      </c>
      <c r="M3" s="4">
        <f>INDEX('All Facts'!P:P,MATCH(Solver!$B3,'All Facts'!$B:$B,0),1)/INDEX('All Facts'!$F:$F,MATCH(Solver!$B3,'All Facts'!$B:$B,0),1)*$C3</f>
        <v>0</v>
      </c>
      <c r="N3" s="4">
        <f>INDEX('All Facts'!Q:Q,MATCH(Solver!$B3,'All Facts'!$B:$B,0),1)/INDEX('All Facts'!$F:$F,MATCH(Solver!$B3,'All Facts'!$B:$B,0),1)*$C3</f>
        <v>13.513513513513514</v>
      </c>
      <c r="O3" s="4">
        <f>INDEX('All Facts'!R:R,MATCH(Solver!$B3,'All Facts'!$B:$B,0),1)/INDEX('All Facts'!$F:$F,MATCH(Solver!$B3,'All Facts'!$B:$B,0),1)*$C3</f>
        <v>0.74324324324324331</v>
      </c>
      <c r="P3" s="4">
        <f>INDEX('All Facts'!S:S,MATCH(Solver!$B3,'All Facts'!$B:$B,0),1)/INDEX('All Facts'!$F:$F,MATCH(Solver!$B3,'All Facts'!$B:$B,0),1)*$C3</f>
        <v>418.91891891891896</v>
      </c>
      <c r="Q3" s="4">
        <f>INDEX('All Facts'!T:T,MATCH(Solver!$B3,'All Facts'!$B:$B,0),1)/INDEX('All Facts'!$F:$F,MATCH(Solver!$B3,'All Facts'!$B:$B,0),1)*$C3</f>
        <v>1.3513513513513513</v>
      </c>
      <c r="R3" s="4">
        <f>INDEX('All Facts'!U:U,MATCH(Solver!$B3,'All Facts'!$B:$B,0),1)/INDEX('All Facts'!$F:$F,MATCH(Solver!$B3,'All Facts'!$B:$B,0),1)*$C3</f>
        <v>0.67567567567567566</v>
      </c>
      <c r="S3" s="4">
        <f>INDEX('All Facts'!V:V,MATCH(Solver!$B3,'All Facts'!$B:$B,0),1)/INDEX('All Facts'!$F:$F,MATCH(Solver!$B3,'All Facts'!$B:$B,0),1)*$C3</f>
        <v>17.567567567567568</v>
      </c>
      <c r="T3" s="4">
        <f>INDEX('All Facts'!W:W,MATCH(Solver!$B3,'All Facts'!$B:$B,0),1)/INDEX('All Facts'!$F:$F,MATCH(Solver!$B3,'All Facts'!$B:$B,0),1)*$C3</f>
        <v>0.13513513513513514</v>
      </c>
      <c r="U3" s="4">
        <f>INDEX('All Facts'!X:X,MATCH(Solver!$B3,'All Facts'!$B:$B,0),1)/INDEX('All Facts'!$F:$F,MATCH(Solver!$B3,'All Facts'!$B:$B,0),1)*$C3</f>
        <v>0</v>
      </c>
      <c r="V3" s="4">
        <f>INDEX('All Facts'!Y:Y,MATCH(Solver!$B3,'All Facts'!$B:$B,0),1)/INDEX('All Facts'!$F:$F,MATCH(Solver!$B3,'All Facts'!$B:$B,0),1)*$C3</f>
        <v>0</v>
      </c>
      <c r="W3" s="4">
        <f>INDEX('All Facts'!Z:Z,MATCH(Solver!$B3,'All Facts'!$B:$B,0),1)/INDEX('All Facts'!$F:$F,MATCH(Solver!$B3,'All Facts'!$B:$B,0),1)*$C3</f>
        <v>0</v>
      </c>
      <c r="AA3">
        <v>2</v>
      </c>
      <c r="AB3" s="6">
        <v>16.719237833127952</v>
      </c>
      <c r="AC3">
        <f>INDEX('All Facts'!G:G,MATCH(Solver!$Z$1,'All Facts'!$B:$B,0),1)/INDEX('All Facts'!$F:$F,MATCH(Solver!$Z$1,'All Facts'!$B:$B,0),1)*$AB3</f>
        <v>94.045712811344728</v>
      </c>
      <c r="AD3">
        <f>INDEX('All Facts'!H:H,MATCH(Solver!$Z$1,'All Facts'!$B:$B,0),1)/INDEX('All Facts'!$F:$F,MATCH(Solver!$Z$1,'All Facts'!$B:$B,0),1)*$AB3</f>
        <v>7.8371427342787277</v>
      </c>
      <c r="AE3">
        <f>INDEX('All Facts'!I:I,MATCH(Solver!$Z$1,'All Facts'!$B:$B,0),1)/INDEX('All Facts'!$F:$F,MATCH(Solver!$Z$1,'All Facts'!$B:$B,0),1)*$AB3</f>
        <v>3.6573332759967396</v>
      </c>
      <c r="AF3">
        <f>INDEX('All Facts'!J:J,MATCH(Solver!$Z$1,'All Facts'!$B:$B,0),1)/INDEX('All Facts'!$F:$F,MATCH(Solver!$Z$1,'All Facts'!$B:$B,0),1)*$AB3</f>
        <v>3.6573332759967396</v>
      </c>
      <c r="AG3">
        <f>INDEX('All Facts'!K:K,MATCH(Solver!$Z$1,'All Facts'!$B:$B,0),1)/INDEX('All Facts'!$F:$F,MATCH(Solver!$Z$1,'All Facts'!$B:$B,0),1)*$AB3</f>
        <v>1.3061904557131212</v>
      </c>
      <c r="AH3">
        <f>INDEX('All Facts'!L:L,MATCH(Solver!$Z$1,'All Facts'!$B:$B,0),1)/INDEX('All Facts'!$F:$F,MATCH(Solver!$Z$1,'All Facts'!$B:$B,0),1)*$AB3</f>
        <v>0</v>
      </c>
      <c r="AI3">
        <f>INDEX('All Facts'!M:M,MATCH(Solver!$Z$1,'All Facts'!$B:$B,0),1)/INDEX('All Facts'!$F:$F,MATCH(Solver!$Z$1,'All Facts'!$B:$B,0),1)*$AB3</f>
        <v>0</v>
      </c>
      <c r="AJ3">
        <f>INDEX('All Facts'!N:N,MATCH(Solver!$Z$1,'All Facts'!$B:$B,0),1)/INDEX('All Facts'!$F:$F,MATCH(Solver!$Z$1,'All Facts'!$B:$B,0),1)*$AB3</f>
        <v>0</v>
      </c>
      <c r="AK3">
        <f>INDEX('All Facts'!O:O,MATCH(Solver!$Z$1,'All Facts'!$B:$B,0),1)/INDEX('All Facts'!$F:$F,MATCH(Solver!$Z$1,'All Facts'!$B:$B,0),1)*$AB3</f>
        <v>78.371427342787271</v>
      </c>
      <c r="AL3">
        <f>INDEX('All Facts'!P:P,MATCH(Solver!$Z$1,'All Facts'!$B:$B,0),1)/INDEX('All Facts'!$F:$F,MATCH(Solver!$Z$1,'All Facts'!$B:$B,0),1)*$AB3</f>
        <v>0</v>
      </c>
      <c r="AM3">
        <f>INDEX('All Facts'!Q:Q,MATCH(Solver!$Z$1,'All Facts'!$B:$B,0),1)/INDEX('All Facts'!$F:$F,MATCH(Solver!$Z$1,'All Facts'!$B:$B,0),1)*$AB3</f>
        <v>15.674285468557455</v>
      </c>
      <c r="AN3">
        <f>INDEX('All Facts'!R:R,MATCH(Solver!$Z$1,'All Facts'!$B:$B,0),1)/INDEX('All Facts'!$F:$F,MATCH(Solver!$Z$1,'All Facts'!$B:$B,0),1)*$AB3</f>
        <v>0.5224761822852485</v>
      </c>
      <c r="AO3">
        <f>INDEX('All Facts'!S:S,MATCH(Solver!$Z$1,'All Facts'!$B:$B,0),1)/INDEX('All Facts'!$F:$F,MATCH(Solver!$Z$1,'All Facts'!$B:$B,0),1)*$AB3</f>
        <v>109.71999827990219</v>
      </c>
      <c r="AP3">
        <f>INDEX('All Facts'!T:T,MATCH(Solver!$Z$1,'All Facts'!$B:$B,0),1)/INDEX('All Facts'!$F:$F,MATCH(Solver!$Z$1,'All Facts'!$B:$B,0),1)*$AB3</f>
        <v>1.044952364570497</v>
      </c>
      <c r="AQ3">
        <f>INDEX('All Facts'!U:U,MATCH(Solver!$Z$1,'All Facts'!$B:$B,0),1)/INDEX('All Facts'!$F:$F,MATCH(Solver!$Z$1,'All Facts'!$B:$B,0),1)*$AB3</f>
        <v>2.089904729140994</v>
      </c>
      <c r="AR3">
        <f>INDEX('All Facts'!V:V,MATCH(Solver!$Z$1,'All Facts'!$B:$B,0),1)/INDEX('All Facts'!$F:$F,MATCH(Solver!$Z$1,'All Facts'!$B:$B,0),1)*$AB3</f>
        <v>0</v>
      </c>
      <c r="AS3">
        <f>INDEX('All Facts'!W:W,MATCH(Solver!$Z$1,'All Facts'!$B:$B,0),1)/INDEX('All Facts'!$F:$F,MATCH(Solver!$Z$1,'All Facts'!$B:$B,0),1)*$AB3</f>
        <v>0</v>
      </c>
      <c r="AT3">
        <f>INDEX('All Facts'!X:X,MATCH(Solver!$Z$1,'All Facts'!$B:$B,0),1)/INDEX('All Facts'!$F:$F,MATCH(Solver!$Z$1,'All Facts'!$B:$B,0),1)*$AB3</f>
        <v>0</v>
      </c>
      <c r="AU3">
        <f>INDEX('All Facts'!Y:Y,MATCH(Solver!$Z$1,'All Facts'!$B:$B,0),1)/INDEX('All Facts'!$F:$F,MATCH(Solver!$Z$1,'All Facts'!$B:$B,0),1)*$AB3</f>
        <v>0</v>
      </c>
      <c r="AV3">
        <f>INDEX('All Facts'!Z:Z,MATCH(Solver!$Z$1,'All Facts'!$B:$B,0),1)/INDEX('All Facts'!$F:$F,MATCH(Solver!$Z$1,'All Facts'!$B:$B,0),1)*$AB3</f>
        <v>0</v>
      </c>
      <c r="AW3" s="7">
        <f>ROUNDDOWN(6/28*Solver!AB3,0)</f>
        <v>3</v>
      </c>
    </row>
    <row r="4" spans="1:49" ht="30" x14ac:dyDescent="0.25">
      <c r="B4" s="4" t="s">
        <v>32</v>
      </c>
      <c r="C4">
        <v>15</v>
      </c>
      <c r="D4" s="4">
        <f>INDEX('All Facts'!G:G,MATCH(Solver!$B4,'All Facts'!$B:$B,0),1)/INDEX('All Facts'!$F:$F,MATCH(Solver!$B4,'All Facts'!$B:$B,0),1)*$C4</f>
        <v>80</v>
      </c>
      <c r="E4" s="4">
        <f>INDEX('All Facts'!H:H,MATCH(Solver!$B4,'All Facts'!$B:$B,0),1)/INDEX('All Facts'!$F:$F,MATCH(Solver!$B4,'All Facts'!$B:$B,0),1)*$C4</f>
        <v>6</v>
      </c>
      <c r="F4" s="4">
        <f>INDEX('All Facts'!I:I,MATCH(Solver!$B4,'All Facts'!$B:$B,0),1)/INDEX('All Facts'!$F:$F,MATCH(Solver!$B4,'All Facts'!$B:$B,0),1)*$C4</f>
        <v>0</v>
      </c>
      <c r="G4" s="4">
        <f>INDEX('All Facts'!J:J,MATCH(Solver!$B4,'All Facts'!$B:$B,0),1)/INDEX('All Facts'!$F:$F,MATCH(Solver!$B4,'All Facts'!$B:$B,0),1)*$C4</f>
        <v>4</v>
      </c>
      <c r="H4" s="4">
        <f>INDEX('All Facts'!K:K,MATCH(Solver!$B4,'All Facts'!$B:$B,0),1)/INDEX('All Facts'!$F:$F,MATCH(Solver!$B4,'All Facts'!$B:$B,0),1)*$C4</f>
        <v>2.5</v>
      </c>
      <c r="I4" s="4">
        <f>INDEX('All Facts'!L:L,MATCH(Solver!$B4,'All Facts'!$B:$B,0),1)/INDEX('All Facts'!$F:$F,MATCH(Solver!$B4,'All Facts'!$B:$B,0),1)*$C4</f>
        <v>0</v>
      </c>
      <c r="J4" s="4">
        <f>INDEX('All Facts'!M:M,MATCH(Solver!$B4,'All Facts'!$B:$B,0),1)/INDEX('All Facts'!$F:$F,MATCH(Solver!$B4,'All Facts'!$B:$B,0),1)*$C4</f>
        <v>0</v>
      </c>
      <c r="K4" s="4">
        <f>INDEX('All Facts'!N:N,MATCH(Solver!$B4,'All Facts'!$B:$B,0),1)/INDEX('All Facts'!$F:$F,MATCH(Solver!$B4,'All Facts'!$B:$B,0),1)*$C4</f>
        <v>15</v>
      </c>
      <c r="L4" s="4">
        <f>INDEX('All Facts'!O:O,MATCH(Solver!$B4,'All Facts'!$B:$B,0),1)/INDEX('All Facts'!$F:$F,MATCH(Solver!$B4,'All Facts'!$B:$B,0),1)*$C4</f>
        <v>180</v>
      </c>
      <c r="M4" s="4">
        <f>INDEX('All Facts'!P:P,MATCH(Solver!$B4,'All Facts'!$B:$B,0),1)/INDEX('All Facts'!$F:$F,MATCH(Solver!$B4,'All Facts'!$B:$B,0),1)*$C4</f>
        <v>0</v>
      </c>
      <c r="N4" s="4">
        <f>INDEX('All Facts'!Q:Q,MATCH(Solver!$B4,'All Facts'!$B:$B,0),1)/INDEX('All Facts'!$F:$F,MATCH(Solver!$B4,'All Facts'!$B:$B,0),1)*$C4</f>
        <v>0</v>
      </c>
      <c r="O4" s="4">
        <f>INDEX('All Facts'!R:R,MATCH(Solver!$B4,'All Facts'!$B:$B,0),1)/INDEX('All Facts'!$F:$F,MATCH(Solver!$B4,'All Facts'!$B:$B,0),1)*$C4</f>
        <v>0.36</v>
      </c>
      <c r="P4" s="4">
        <f>INDEX('All Facts'!S:S,MATCH(Solver!$B4,'All Facts'!$B:$B,0),1)/INDEX('All Facts'!$F:$F,MATCH(Solver!$B4,'All Facts'!$B:$B,0),1)*$C4</f>
        <v>0</v>
      </c>
      <c r="Q4" s="4">
        <f>INDEX('All Facts'!T:T,MATCH(Solver!$B4,'All Facts'!$B:$B,0),1)/INDEX('All Facts'!$F:$F,MATCH(Solver!$B4,'All Facts'!$B:$B,0),1)*$C4</f>
        <v>0</v>
      </c>
      <c r="R4" s="4">
        <f>INDEX('All Facts'!U:U,MATCH(Solver!$B4,'All Facts'!$B:$B,0),1)/INDEX('All Facts'!$F:$F,MATCH(Solver!$B4,'All Facts'!$B:$B,0),1)*$C4</f>
        <v>0</v>
      </c>
      <c r="S4" s="4">
        <f>INDEX('All Facts'!V:V,MATCH(Solver!$B4,'All Facts'!$B:$B,0),1)/INDEX('All Facts'!$F:$F,MATCH(Solver!$B4,'All Facts'!$B:$B,0),1)*$C4</f>
        <v>0</v>
      </c>
      <c r="T4" s="4">
        <f>INDEX('All Facts'!W:W,MATCH(Solver!$B4,'All Facts'!$B:$B,0),1)/INDEX('All Facts'!$F:$F,MATCH(Solver!$B4,'All Facts'!$B:$B,0),1)*$C4</f>
        <v>0</v>
      </c>
      <c r="U4" s="4">
        <f>INDEX('All Facts'!X:X,MATCH(Solver!$B4,'All Facts'!$B:$B,0),1)/INDEX('All Facts'!$F:$F,MATCH(Solver!$B4,'All Facts'!$B:$B,0),1)*$C4</f>
        <v>0</v>
      </c>
      <c r="V4" s="4">
        <f>INDEX('All Facts'!Y:Y,MATCH(Solver!$B4,'All Facts'!$B:$B,0),1)/INDEX('All Facts'!$F:$F,MATCH(Solver!$B4,'All Facts'!$B:$B,0),1)*$C4</f>
        <v>0</v>
      </c>
      <c r="W4" s="4">
        <f>INDEX('All Facts'!Z:Z,MATCH(Solver!$B4,'All Facts'!$B:$B,0),1)/INDEX('All Facts'!$F:$F,MATCH(Solver!$B4,'All Facts'!$B:$B,0),1)*$C4</f>
        <v>0</v>
      </c>
      <c r="AA4">
        <v>3</v>
      </c>
      <c r="AB4" s="6">
        <v>190.7223148103875</v>
      </c>
      <c r="AC4">
        <f>INDEX('All Facts'!G:G,MATCH(Solver!$Z$1,'All Facts'!$B:$B,0),1)/INDEX('All Facts'!$F:$F,MATCH(Solver!$Z$1,'All Facts'!$B:$B,0),1)*$AB4</f>
        <v>1072.8130208084297</v>
      </c>
      <c r="AD4">
        <f>INDEX('All Facts'!H:H,MATCH(Solver!$Z$1,'All Facts'!$B:$B,0),1)/INDEX('All Facts'!$F:$F,MATCH(Solver!$Z$1,'All Facts'!$B:$B,0),1)*$AB4</f>
        <v>89.401085067369138</v>
      </c>
      <c r="AE4">
        <f>INDEX('All Facts'!I:I,MATCH(Solver!$Z$1,'All Facts'!$B:$B,0),1)/INDEX('All Facts'!$F:$F,MATCH(Solver!$Z$1,'All Facts'!$B:$B,0),1)*$AB4</f>
        <v>41.720506364772262</v>
      </c>
      <c r="AF4">
        <f>INDEX('All Facts'!J:J,MATCH(Solver!$Z$1,'All Facts'!$B:$B,0),1)/INDEX('All Facts'!$F:$F,MATCH(Solver!$Z$1,'All Facts'!$B:$B,0),1)*$AB4</f>
        <v>41.720506364772262</v>
      </c>
      <c r="AG4">
        <f>INDEX('All Facts'!K:K,MATCH(Solver!$Z$1,'All Facts'!$B:$B,0),1)/INDEX('All Facts'!$F:$F,MATCH(Solver!$Z$1,'All Facts'!$B:$B,0),1)*$AB4</f>
        <v>14.900180844561524</v>
      </c>
      <c r="AH4">
        <f>INDEX('All Facts'!L:L,MATCH(Solver!$Z$1,'All Facts'!$B:$B,0),1)/INDEX('All Facts'!$F:$F,MATCH(Solver!$Z$1,'All Facts'!$B:$B,0),1)*$AB4</f>
        <v>0</v>
      </c>
      <c r="AI4">
        <f>INDEX('All Facts'!M:M,MATCH(Solver!$Z$1,'All Facts'!$B:$B,0),1)/INDEX('All Facts'!$F:$F,MATCH(Solver!$Z$1,'All Facts'!$B:$B,0),1)*$AB4</f>
        <v>0</v>
      </c>
      <c r="AJ4">
        <f>INDEX('All Facts'!N:N,MATCH(Solver!$Z$1,'All Facts'!$B:$B,0),1)/INDEX('All Facts'!$F:$F,MATCH(Solver!$Z$1,'All Facts'!$B:$B,0),1)*$AB4</f>
        <v>0</v>
      </c>
      <c r="AK4">
        <f>INDEX('All Facts'!O:O,MATCH(Solver!$Z$1,'All Facts'!$B:$B,0),1)/INDEX('All Facts'!$F:$F,MATCH(Solver!$Z$1,'All Facts'!$B:$B,0),1)*$AB4</f>
        <v>894.01085067369138</v>
      </c>
      <c r="AL4">
        <f>INDEX('All Facts'!P:P,MATCH(Solver!$Z$1,'All Facts'!$B:$B,0),1)/INDEX('All Facts'!$F:$F,MATCH(Solver!$Z$1,'All Facts'!$B:$B,0),1)*$AB4</f>
        <v>0</v>
      </c>
      <c r="AM4">
        <f>INDEX('All Facts'!Q:Q,MATCH(Solver!$Z$1,'All Facts'!$B:$B,0),1)/INDEX('All Facts'!$F:$F,MATCH(Solver!$Z$1,'All Facts'!$B:$B,0),1)*$AB4</f>
        <v>178.80217013473828</v>
      </c>
      <c r="AN4">
        <f>INDEX('All Facts'!R:R,MATCH(Solver!$Z$1,'All Facts'!$B:$B,0),1)/INDEX('All Facts'!$F:$F,MATCH(Solver!$Z$1,'All Facts'!$B:$B,0),1)*$AB4</f>
        <v>5.9600723378246094</v>
      </c>
      <c r="AO4">
        <f>INDEX('All Facts'!S:S,MATCH(Solver!$Z$1,'All Facts'!$B:$B,0),1)/INDEX('All Facts'!$F:$F,MATCH(Solver!$Z$1,'All Facts'!$B:$B,0),1)*$AB4</f>
        <v>1251.615190943168</v>
      </c>
      <c r="AP4">
        <f>INDEX('All Facts'!T:T,MATCH(Solver!$Z$1,'All Facts'!$B:$B,0),1)/INDEX('All Facts'!$F:$F,MATCH(Solver!$Z$1,'All Facts'!$B:$B,0),1)*$AB4</f>
        <v>11.920144675649219</v>
      </c>
      <c r="AQ4">
        <f>INDEX('All Facts'!U:U,MATCH(Solver!$Z$1,'All Facts'!$B:$B,0),1)/INDEX('All Facts'!$F:$F,MATCH(Solver!$Z$1,'All Facts'!$B:$B,0),1)*$AB4</f>
        <v>23.840289351298438</v>
      </c>
      <c r="AR4">
        <f>INDEX('All Facts'!V:V,MATCH(Solver!$Z$1,'All Facts'!$B:$B,0),1)/INDEX('All Facts'!$F:$F,MATCH(Solver!$Z$1,'All Facts'!$B:$B,0),1)*$AB4</f>
        <v>0</v>
      </c>
      <c r="AS4">
        <f>INDEX('All Facts'!W:W,MATCH(Solver!$Z$1,'All Facts'!$B:$B,0),1)/INDEX('All Facts'!$F:$F,MATCH(Solver!$Z$1,'All Facts'!$B:$B,0),1)*$AB4</f>
        <v>0</v>
      </c>
      <c r="AT4">
        <f>INDEX('All Facts'!X:X,MATCH(Solver!$Z$1,'All Facts'!$B:$B,0),1)/INDEX('All Facts'!$F:$F,MATCH(Solver!$Z$1,'All Facts'!$B:$B,0),1)*$AB4</f>
        <v>0</v>
      </c>
      <c r="AU4">
        <f>INDEX('All Facts'!Y:Y,MATCH(Solver!$Z$1,'All Facts'!$B:$B,0),1)/INDEX('All Facts'!$F:$F,MATCH(Solver!$Z$1,'All Facts'!$B:$B,0),1)*$AB4</f>
        <v>0</v>
      </c>
      <c r="AV4">
        <f>INDEX('All Facts'!Z:Z,MATCH(Solver!$Z$1,'All Facts'!$B:$B,0),1)/INDEX('All Facts'!$F:$F,MATCH(Solver!$Z$1,'All Facts'!$B:$B,0),1)*$AB4</f>
        <v>0</v>
      </c>
      <c r="AW4" s="7">
        <f>ROUNDDOWN(6/28*Solver!AB4,0)</f>
        <v>40</v>
      </c>
    </row>
    <row r="5" spans="1:49" x14ac:dyDescent="0.25">
      <c r="B5" s="4" t="s">
        <v>45</v>
      </c>
      <c r="C5" s="13">
        <f>SUM(C2:C4)</f>
        <v>230</v>
      </c>
      <c r="D5">
        <f t="shared" ref="D5:W5" si="0">SUM(D2:D4)</f>
        <v>266.27122697919157</v>
      </c>
      <c r="E5">
        <f t="shared" si="0"/>
        <v>11.088495575221238</v>
      </c>
      <c r="F5">
        <f t="shared" si="0"/>
        <v>22.656063142788806</v>
      </c>
      <c r="G5">
        <f t="shared" si="0"/>
        <v>18.239416407558</v>
      </c>
      <c r="H5">
        <f t="shared" si="0"/>
        <v>5.553097345132743</v>
      </c>
      <c r="I5">
        <f t="shared" si="0"/>
        <v>0</v>
      </c>
      <c r="J5">
        <f t="shared" si="0"/>
        <v>0</v>
      </c>
      <c r="K5">
        <f t="shared" si="0"/>
        <v>40.442477876106196</v>
      </c>
      <c r="L5">
        <f t="shared" si="0"/>
        <v>597.25663716814165</v>
      </c>
      <c r="M5">
        <f t="shared" si="0"/>
        <v>0</v>
      </c>
      <c r="N5">
        <f t="shared" si="0"/>
        <v>119.35422147811528</v>
      </c>
      <c r="O5">
        <f t="shared" si="0"/>
        <v>1.1032432432432433</v>
      </c>
      <c r="P5">
        <f t="shared" si="0"/>
        <v>610.24635254723751</v>
      </c>
      <c r="Q5">
        <f t="shared" si="0"/>
        <v>1.3513513513513513</v>
      </c>
      <c r="R5">
        <f t="shared" si="0"/>
        <v>4.7464721358526667</v>
      </c>
      <c r="S5">
        <f t="shared" si="0"/>
        <v>17.567567567567568</v>
      </c>
      <c r="T5">
        <f t="shared" si="0"/>
        <v>0.13513513513513514</v>
      </c>
      <c r="U5">
        <f t="shared" si="0"/>
        <v>0</v>
      </c>
      <c r="V5">
        <f t="shared" si="0"/>
        <v>0</v>
      </c>
      <c r="W5">
        <f t="shared" si="0"/>
        <v>0</v>
      </c>
      <c r="AA5">
        <v>4</v>
      </c>
      <c r="AB5" s="6">
        <v>3.6197440576689552</v>
      </c>
      <c r="AC5">
        <f>INDEX('All Facts'!G:G,MATCH(Solver!$Z$1,'All Facts'!$B:$B,0),1)/INDEX('All Facts'!$F:$F,MATCH(Solver!$Z$1,'All Facts'!$B:$B,0),1)*$AB5</f>
        <v>20.361060324387875</v>
      </c>
      <c r="AD5">
        <f>INDEX('All Facts'!H:H,MATCH(Solver!$Z$1,'All Facts'!$B:$B,0),1)/INDEX('All Facts'!$F:$F,MATCH(Solver!$Z$1,'All Facts'!$B:$B,0),1)*$AB5</f>
        <v>1.6967550270323228</v>
      </c>
      <c r="AE5">
        <f>INDEX('All Facts'!I:I,MATCH(Solver!$Z$1,'All Facts'!$B:$B,0),1)/INDEX('All Facts'!$F:$F,MATCH(Solver!$Z$1,'All Facts'!$B:$B,0),1)*$AB5</f>
        <v>0.79181901261508392</v>
      </c>
      <c r="AF5">
        <f>INDEX('All Facts'!J:J,MATCH(Solver!$Z$1,'All Facts'!$B:$B,0),1)/INDEX('All Facts'!$F:$F,MATCH(Solver!$Z$1,'All Facts'!$B:$B,0),1)*$AB5</f>
        <v>0.79181901261508392</v>
      </c>
      <c r="AG5">
        <f>INDEX('All Facts'!K:K,MATCH(Solver!$Z$1,'All Facts'!$B:$B,0),1)/INDEX('All Facts'!$F:$F,MATCH(Solver!$Z$1,'All Facts'!$B:$B,0),1)*$AB5</f>
        <v>0.28279250450538712</v>
      </c>
      <c r="AH5">
        <f>INDEX('All Facts'!L:L,MATCH(Solver!$Z$1,'All Facts'!$B:$B,0),1)/INDEX('All Facts'!$F:$F,MATCH(Solver!$Z$1,'All Facts'!$B:$B,0),1)*$AB5</f>
        <v>0</v>
      </c>
      <c r="AI5">
        <f>INDEX('All Facts'!M:M,MATCH(Solver!$Z$1,'All Facts'!$B:$B,0),1)/INDEX('All Facts'!$F:$F,MATCH(Solver!$Z$1,'All Facts'!$B:$B,0),1)*$AB5</f>
        <v>0</v>
      </c>
      <c r="AJ5">
        <f>INDEX('All Facts'!N:N,MATCH(Solver!$Z$1,'All Facts'!$B:$B,0),1)/INDEX('All Facts'!$F:$F,MATCH(Solver!$Z$1,'All Facts'!$B:$B,0),1)*$AB5</f>
        <v>0</v>
      </c>
      <c r="AK5">
        <f>INDEX('All Facts'!O:O,MATCH(Solver!$Z$1,'All Facts'!$B:$B,0),1)/INDEX('All Facts'!$F:$F,MATCH(Solver!$Z$1,'All Facts'!$B:$B,0),1)*$AB5</f>
        <v>16.967550270323226</v>
      </c>
      <c r="AL5">
        <f>INDEX('All Facts'!P:P,MATCH(Solver!$Z$1,'All Facts'!$B:$B,0),1)/INDEX('All Facts'!$F:$F,MATCH(Solver!$Z$1,'All Facts'!$B:$B,0),1)*$AB5</f>
        <v>0</v>
      </c>
      <c r="AM5">
        <f>INDEX('All Facts'!Q:Q,MATCH(Solver!$Z$1,'All Facts'!$B:$B,0),1)/INDEX('All Facts'!$F:$F,MATCH(Solver!$Z$1,'All Facts'!$B:$B,0),1)*$AB5</f>
        <v>3.3935100540646457</v>
      </c>
      <c r="AN5">
        <f>INDEX('All Facts'!R:R,MATCH(Solver!$Z$1,'All Facts'!$B:$B,0),1)/INDEX('All Facts'!$F:$F,MATCH(Solver!$Z$1,'All Facts'!$B:$B,0),1)*$AB5</f>
        <v>0.11311700180215485</v>
      </c>
      <c r="AO5">
        <f>INDEX('All Facts'!S:S,MATCH(Solver!$Z$1,'All Facts'!$B:$B,0),1)/INDEX('All Facts'!$F:$F,MATCH(Solver!$Z$1,'All Facts'!$B:$B,0),1)*$AB5</f>
        <v>23.75457037845252</v>
      </c>
      <c r="AP5">
        <f>INDEX('All Facts'!T:T,MATCH(Solver!$Z$1,'All Facts'!$B:$B,0),1)/INDEX('All Facts'!$F:$F,MATCH(Solver!$Z$1,'All Facts'!$B:$B,0),1)*$AB5</f>
        <v>0.2262340036043097</v>
      </c>
      <c r="AQ5">
        <f>INDEX('All Facts'!U:U,MATCH(Solver!$Z$1,'All Facts'!$B:$B,0),1)/INDEX('All Facts'!$F:$F,MATCH(Solver!$Z$1,'All Facts'!$B:$B,0),1)*$AB5</f>
        <v>0.4524680072086194</v>
      </c>
      <c r="AR5">
        <f>INDEX('All Facts'!V:V,MATCH(Solver!$Z$1,'All Facts'!$B:$B,0),1)/INDEX('All Facts'!$F:$F,MATCH(Solver!$Z$1,'All Facts'!$B:$B,0),1)*$AB5</f>
        <v>0</v>
      </c>
      <c r="AS5">
        <f>INDEX('All Facts'!W:W,MATCH(Solver!$Z$1,'All Facts'!$B:$B,0),1)/INDEX('All Facts'!$F:$F,MATCH(Solver!$Z$1,'All Facts'!$B:$B,0),1)*$AB5</f>
        <v>0</v>
      </c>
      <c r="AT5">
        <f>INDEX('All Facts'!X:X,MATCH(Solver!$Z$1,'All Facts'!$B:$B,0),1)/INDEX('All Facts'!$F:$F,MATCH(Solver!$Z$1,'All Facts'!$B:$B,0),1)*$AB5</f>
        <v>0</v>
      </c>
      <c r="AU5">
        <f>INDEX('All Facts'!Y:Y,MATCH(Solver!$Z$1,'All Facts'!$B:$B,0),1)/INDEX('All Facts'!$F:$F,MATCH(Solver!$Z$1,'All Facts'!$B:$B,0),1)*$AB5</f>
        <v>0</v>
      </c>
      <c r="AV5">
        <f>INDEX('All Facts'!Z:Z,MATCH(Solver!$Z$1,'All Facts'!$B:$B,0),1)/INDEX('All Facts'!$F:$F,MATCH(Solver!$Z$1,'All Facts'!$B:$B,0),1)*$AB5</f>
        <v>0</v>
      </c>
      <c r="AW5" s="7">
        <f>ROUNDDOWN(6/28*Solver!AB5,0)</f>
        <v>0</v>
      </c>
    </row>
    <row r="6" spans="1:49" x14ac:dyDescent="0.25">
      <c r="AA6">
        <v>5</v>
      </c>
      <c r="AB6" s="6">
        <v>209.64198143463341</v>
      </c>
      <c r="AC6">
        <f>INDEX('All Facts'!G:G,MATCH(Solver!$Z$1,'All Facts'!$B:$B,0),1)/INDEX('All Facts'!$F:$F,MATCH(Solver!$Z$1,'All Facts'!$B:$B,0),1)*$AB6</f>
        <v>1179.2361455698128</v>
      </c>
      <c r="AD6">
        <f>INDEX('All Facts'!H:H,MATCH(Solver!$Z$1,'All Facts'!$B:$B,0),1)/INDEX('All Facts'!$F:$F,MATCH(Solver!$Z$1,'All Facts'!$B:$B,0),1)*$AB6</f>
        <v>98.269678797484403</v>
      </c>
      <c r="AE6">
        <f>INDEX('All Facts'!I:I,MATCH(Solver!$Z$1,'All Facts'!$B:$B,0),1)/INDEX('All Facts'!$F:$F,MATCH(Solver!$Z$1,'All Facts'!$B:$B,0),1)*$AB6</f>
        <v>45.859183438826058</v>
      </c>
      <c r="AF6">
        <f>INDEX('All Facts'!J:J,MATCH(Solver!$Z$1,'All Facts'!$B:$B,0),1)/INDEX('All Facts'!$F:$F,MATCH(Solver!$Z$1,'All Facts'!$B:$B,0),1)*$AB6</f>
        <v>45.859183438826058</v>
      </c>
      <c r="AG6">
        <f>INDEX('All Facts'!K:K,MATCH(Solver!$Z$1,'All Facts'!$B:$B,0),1)/INDEX('All Facts'!$F:$F,MATCH(Solver!$Z$1,'All Facts'!$B:$B,0),1)*$AB6</f>
        <v>16.378279799580735</v>
      </c>
      <c r="AH6">
        <f>INDEX('All Facts'!L:L,MATCH(Solver!$Z$1,'All Facts'!$B:$B,0),1)/INDEX('All Facts'!$F:$F,MATCH(Solver!$Z$1,'All Facts'!$B:$B,0),1)*$AB6</f>
        <v>0</v>
      </c>
      <c r="AI6">
        <f>INDEX('All Facts'!M:M,MATCH(Solver!$Z$1,'All Facts'!$B:$B,0),1)/INDEX('All Facts'!$F:$F,MATCH(Solver!$Z$1,'All Facts'!$B:$B,0),1)*$AB6</f>
        <v>0</v>
      </c>
      <c r="AJ6">
        <f>INDEX('All Facts'!N:N,MATCH(Solver!$Z$1,'All Facts'!$B:$B,0),1)/INDEX('All Facts'!$F:$F,MATCH(Solver!$Z$1,'All Facts'!$B:$B,0),1)*$AB6</f>
        <v>0</v>
      </c>
      <c r="AK6">
        <f>INDEX('All Facts'!O:O,MATCH(Solver!$Z$1,'All Facts'!$B:$B,0),1)/INDEX('All Facts'!$F:$F,MATCH(Solver!$Z$1,'All Facts'!$B:$B,0),1)*$AB6</f>
        <v>982.69678797484414</v>
      </c>
      <c r="AL6">
        <f>INDEX('All Facts'!P:P,MATCH(Solver!$Z$1,'All Facts'!$B:$B,0),1)/INDEX('All Facts'!$F:$F,MATCH(Solver!$Z$1,'All Facts'!$B:$B,0),1)*$AB6</f>
        <v>0</v>
      </c>
      <c r="AM6">
        <f>INDEX('All Facts'!Q:Q,MATCH(Solver!$Z$1,'All Facts'!$B:$B,0),1)/INDEX('All Facts'!$F:$F,MATCH(Solver!$Z$1,'All Facts'!$B:$B,0),1)*$AB6</f>
        <v>196.53935759496881</v>
      </c>
      <c r="AN6">
        <f>INDEX('All Facts'!R:R,MATCH(Solver!$Z$1,'All Facts'!$B:$B,0),1)/INDEX('All Facts'!$F:$F,MATCH(Solver!$Z$1,'All Facts'!$B:$B,0),1)*$AB6</f>
        <v>6.551311919832294</v>
      </c>
      <c r="AO6">
        <f>INDEX('All Facts'!S:S,MATCH(Solver!$Z$1,'All Facts'!$B:$B,0),1)/INDEX('All Facts'!$F:$F,MATCH(Solver!$Z$1,'All Facts'!$B:$B,0),1)*$AB6</f>
        <v>1375.7755031647816</v>
      </c>
      <c r="AP6">
        <f>INDEX('All Facts'!T:T,MATCH(Solver!$Z$1,'All Facts'!$B:$B,0),1)/INDEX('All Facts'!$F:$F,MATCH(Solver!$Z$1,'All Facts'!$B:$B,0),1)*$AB6</f>
        <v>13.102623839664588</v>
      </c>
      <c r="AQ6">
        <f>INDEX('All Facts'!U:U,MATCH(Solver!$Z$1,'All Facts'!$B:$B,0),1)/INDEX('All Facts'!$F:$F,MATCH(Solver!$Z$1,'All Facts'!$B:$B,0),1)*$AB6</f>
        <v>26.205247679329176</v>
      </c>
      <c r="AR6">
        <f>INDEX('All Facts'!V:V,MATCH(Solver!$Z$1,'All Facts'!$B:$B,0),1)/INDEX('All Facts'!$F:$F,MATCH(Solver!$Z$1,'All Facts'!$B:$B,0),1)*$AB6</f>
        <v>0</v>
      </c>
      <c r="AS6">
        <f>INDEX('All Facts'!W:W,MATCH(Solver!$Z$1,'All Facts'!$B:$B,0),1)/INDEX('All Facts'!$F:$F,MATCH(Solver!$Z$1,'All Facts'!$B:$B,0),1)*$AB6</f>
        <v>0</v>
      </c>
      <c r="AT6">
        <f>INDEX('All Facts'!X:X,MATCH(Solver!$Z$1,'All Facts'!$B:$B,0),1)/INDEX('All Facts'!$F:$F,MATCH(Solver!$Z$1,'All Facts'!$B:$B,0),1)*$AB6</f>
        <v>0</v>
      </c>
      <c r="AU6">
        <f>INDEX('All Facts'!Y:Y,MATCH(Solver!$Z$1,'All Facts'!$B:$B,0),1)/INDEX('All Facts'!$F:$F,MATCH(Solver!$Z$1,'All Facts'!$B:$B,0),1)*$AB6</f>
        <v>0</v>
      </c>
      <c r="AV6">
        <f>INDEX('All Facts'!Z:Z,MATCH(Solver!$Z$1,'All Facts'!$B:$B,0),1)/INDEX('All Facts'!$F:$F,MATCH(Solver!$Z$1,'All Facts'!$B:$B,0),1)*$AB6</f>
        <v>0</v>
      </c>
      <c r="AW6" s="7">
        <f>ROUNDDOWN(6/28*Solver!AB6,0)</f>
        <v>44</v>
      </c>
    </row>
    <row r="7" spans="1:49" x14ac:dyDescent="0.25">
      <c r="AA7">
        <v>6</v>
      </c>
      <c r="AB7" s="6">
        <v>66.947101959329657</v>
      </c>
      <c r="AC7">
        <f>INDEX('All Facts'!G:G,MATCH(Solver!$Z$1,'All Facts'!$B:$B,0),1)/INDEX('All Facts'!$F:$F,MATCH(Solver!$Z$1,'All Facts'!$B:$B,0),1)*$AB7</f>
        <v>376.57744852122931</v>
      </c>
      <c r="AD7">
        <f>INDEX('All Facts'!H:H,MATCH(Solver!$Z$1,'All Facts'!$B:$B,0),1)/INDEX('All Facts'!$F:$F,MATCH(Solver!$Z$1,'All Facts'!$B:$B,0),1)*$AB7</f>
        <v>31.381454043435777</v>
      </c>
      <c r="AE7">
        <f>INDEX('All Facts'!I:I,MATCH(Solver!$Z$1,'All Facts'!$B:$B,0),1)/INDEX('All Facts'!$F:$F,MATCH(Solver!$Z$1,'All Facts'!$B:$B,0),1)*$AB7</f>
        <v>14.644678553603363</v>
      </c>
      <c r="AF7">
        <f>INDEX('All Facts'!J:J,MATCH(Solver!$Z$1,'All Facts'!$B:$B,0),1)/INDEX('All Facts'!$F:$F,MATCH(Solver!$Z$1,'All Facts'!$B:$B,0),1)*$AB7</f>
        <v>14.644678553603363</v>
      </c>
      <c r="AG7">
        <f>INDEX('All Facts'!K:K,MATCH(Solver!$Z$1,'All Facts'!$B:$B,0),1)/INDEX('All Facts'!$F:$F,MATCH(Solver!$Z$1,'All Facts'!$B:$B,0),1)*$AB7</f>
        <v>5.2302423405726293</v>
      </c>
      <c r="AH7">
        <f>INDEX('All Facts'!L:L,MATCH(Solver!$Z$1,'All Facts'!$B:$B,0),1)/INDEX('All Facts'!$F:$F,MATCH(Solver!$Z$1,'All Facts'!$B:$B,0),1)*$AB7</f>
        <v>0</v>
      </c>
      <c r="AI7">
        <f>INDEX('All Facts'!M:M,MATCH(Solver!$Z$1,'All Facts'!$B:$B,0),1)/INDEX('All Facts'!$F:$F,MATCH(Solver!$Z$1,'All Facts'!$B:$B,0),1)*$AB7</f>
        <v>0</v>
      </c>
      <c r="AJ7">
        <f>INDEX('All Facts'!N:N,MATCH(Solver!$Z$1,'All Facts'!$B:$B,0),1)/INDEX('All Facts'!$F:$F,MATCH(Solver!$Z$1,'All Facts'!$B:$B,0),1)*$AB7</f>
        <v>0</v>
      </c>
      <c r="AK7">
        <f>INDEX('All Facts'!O:O,MATCH(Solver!$Z$1,'All Facts'!$B:$B,0),1)/INDEX('All Facts'!$F:$F,MATCH(Solver!$Z$1,'All Facts'!$B:$B,0),1)*$AB7</f>
        <v>313.81454043435775</v>
      </c>
      <c r="AL7">
        <f>INDEX('All Facts'!P:P,MATCH(Solver!$Z$1,'All Facts'!$B:$B,0),1)/INDEX('All Facts'!$F:$F,MATCH(Solver!$Z$1,'All Facts'!$B:$B,0),1)*$AB7</f>
        <v>0</v>
      </c>
      <c r="AM7">
        <f>INDEX('All Facts'!Q:Q,MATCH(Solver!$Z$1,'All Facts'!$B:$B,0),1)/INDEX('All Facts'!$F:$F,MATCH(Solver!$Z$1,'All Facts'!$B:$B,0),1)*$AB7</f>
        <v>62.762908086871555</v>
      </c>
      <c r="AN7">
        <f>INDEX('All Facts'!R:R,MATCH(Solver!$Z$1,'All Facts'!$B:$B,0),1)/INDEX('All Facts'!$F:$F,MATCH(Solver!$Z$1,'All Facts'!$B:$B,0),1)*$AB7</f>
        <v>2.0920969362290518</v>
      </c>
      <c r="AO7">
        <f>INDEX('All Facts'!S:S,MATCH(Solver!$Z$1,'All Facts'!$B:$B,0),1)/INDEX('All Facts'!$F:$F,MATCH(Solver!$Z$1,'All Facts'!$B:$B,0),1)*$AB7</f>
        <v>439.34035660810088</v>
      </c>
      <c r="AP7">
        <f>INDEX('All Facts'!T:T,MATCH(Solver!$Z$1,'All Facts'!$B:$B,0),1)/INDEX('All Facts'!$F:$F,MATCH(Solver!$Z$1,'All Facts'!$B:$B,0),1)*$AB7</f>
        <v>4.1841938724581036</v>
      </c>
      <c r="AQ7">
        <f>INDEX('All Facts'!U:U,MATCH(Solver!$Z$1,'All Facts'!$B:$B,0),1)/INDEX('All Facts'!$F:$F,MATCH(Solver!$Z$1,'All Facts'!$B:$B,0),1)*$AB7</f>
        <v>8.3683877449162072</v>
      </c>
      <c r="AR7">
        <f>INDEX('All Facts'!V:V,MATCH(Solver!$Z$1,'All Facts'!$B:$B,0),1)/INDEX('All Facts'!$F:$F,MATCH(Solver!$Z$1,'All Facts'!$B:$B,0),1)*$AB7</f>
        <v>0</v>
      </c>
      <c r="AS7">
        <f>INDEX('All Facts'!W:W,MATCH(Solver!$Z$1,'All Facts'!$B:$B,0),1)/INDEX('All Facts'!$F:$F,MATCH(Solver!$Z$1,'All Facts'!$B:$B,0),1)*$AB7</f>
        <v>0</v>
      </c>
      <c r="AT7">
        <f>INDEX('All Facts'!X:X,MATCH(Solver!$Z$1,'All Facts'!$B:$B,0),1)/INDEX('All Facts'!$F:$F,MATCH(Solver!$Z$1,'All Facts'!$B:$B,0),1)*$AB7</f>
        <v>0</v>
      </c>
      <c r="AU7">
        <f>INDEX('All Facts'!Y:Y,MATCH(Solver!$Z$1,'All Facts'!$B:$B,0),1)/INDEX('All Facts'!$F:$F,MATCH(Solver!$Z$1,'All Facts'!$B:$B,0),1)*$AB7</f>
        <v>0</v>
      </c>
      <c r="AV7">
        <f>INDEX('All Facts'!Z:Z,MATCH(Solver!$Z$1,'All Facts'!$B:$B,0),1)/INDEX('All Facts'!$F:$F,MATCH(Solver!$Z$1,'All Facts'!$B:$B,0),1)*$AB7</f>
        <v>0</v>
      </c>
      <c r="AW7" s="7">
        <f>ROUNDDOWN(6/28*Solver!AB7,0)</f>
        <v>14</v>
      </c>
    </row>
    <row r="8" spans="1:49" ht="45" x14ac:dyDescent="0.25">
      <c r="A8" t="s">
        <v>47</v>
      </c>
      <c r="B8" s="4" t="s">
        <v>1</v>
      </c>
      <c r="C8" t="s">
        <v>44</v>
      </c>
      <c r="D8" s="4" t="s">
        <v>8</v>
      </c>
      <c r="E8" s="4" t="s">
        <v>9</v>
      </c>
      <c r="F8" s="4" t="s">
        <v>10</v>
      </c>
      <c r="G8" s="4" t="s">
        <v>11</v>
      </c>
      <c r="H8" s="4" t="s">
        <v>12</v>
      </c>
      <c r="I8" s="4" t="s">
        <v>13</v>
      </c>
      <c r="J8" s="4" t="s">
        <v>14</v>
      </c>
      <c r="K8" s="4" t="s">
        <v>15</v>
      </c>
      <c r="L8" s="4" t="s">
        <v>16</v>
      </c>
      <c r="M8" s="4" t="s">
        <v>17</v>
      </c>
      <c r="N8" s="4" t="s">
        <v>18</v>
      </c>
      <c r="O8" s="4" t="s">
        <v>19</v>
      </c>
      <c r="P8" s="4" t="s">
        <v>20</v>
      </c>
      <c r="Q8" s="4" t="s">
        <v>26</v>
      </c>
      <c r="R8" s="4" t="s">
        <v>27</v>
      </c>
      <c r="S8" s="4" t="s">
        <v>28</v>
      </c>
      <c r="T8" s="4" t="s">
        <v>29</v>
      </c>
      <c r="U8" s="4" t="s">
        <v>39</v>
      </c>
      <c r="V8" s="4" t="s">
        <v>40</v>
      </c>
      <c r="W8" s="4" t="s">
        <v>41</v>
      </c>
      <c r="X8" s="4" t="s">
        <v>73</v>
      </c>
      <c r="Y8" s="4" t="s">
        <v>53</v>
      </c>
      <c r="AA8">
        <v>7</v>
      </c>
      <c r="AB8" s="6">
        <v>3.6197386727343641</v>
      </c>
      <c r="AC8">
        <f>INDEX('All Facts'!G:G,MATCH(Solver!$Z$1,'All Facts'!$B:$B,0),1)/INDEX('All Facts'!$F:$F,MATCH(Solver!$Z$1,'All Facts'!$B:$B,0),1)*$AB8</f>
        <v>20.361030034130799</v>
      </c>
      <c r="AD8">
        <f>INDEX('All Facts'!H:H,MATCH(Solver!$Z$1,'All Facts'!$B:$B,0),1)/INDEX('All Facts'!$F:$F,MATCH(Solver!$Z$1,'All Facts'!$B:$B,0),1)*$AB8</f>
        <v>1.6967525028442332</v>
      </c>
      <c r="AE8">
        <f>INDEX('All Facts'!I:I,MATCH(Solver!$Z$1,'All Facts'!$B:$B,0),1)/INDEX('All Facts'!$F:$F,MATCH(Solver!$Z$1,'All Facts'!$B:$B,0),1)*$AB8</f>
        <v>0.79181783466064215</v>
      </c>
      <c r="AF8">
        <f>INDEX('All Facts'!J:J,MATCH(Solver!$Z$1,'All Facts'!$B:$B,0),1)/INDEX('All Facts'!$F:$F,MATCH(Solver!$Z$1,'All Facts'!$B:$B,0),1)*$AB8</f>
        <v>0.79181783466064215</v>
      </c>
      <c r="AG8">
        <f>INDEX('All Facts'!K:K,MATCH(Solver!$Z$1,'All Facts'!$B:$B,0),1)/INDEX('All Facts'!$F:$F,MATCH(Solver!$Z$1,'All Facts'!$B:$B,0),1)*$AB8</f>
        <v>0.2827920838073722</v>
      </c>
      <c r="AH8">
        <f>INDEX('All Facts'!L:L,MATCH(Solver!$Z$1,'All Facts'!$B:$B,0),1)/INDEX('All Facts'!$F:$F,MATCH(Solver!$Z$1,'All Facts'!$B:$B,0),1)*$AB8</f>
        <v>0</v>
      </c>
      <c r="AI8">
        <f>INDEX('All Facts'!M:M,MATCH(Solver!$Z$1,'All Facts'!$B:$B,0),1)/INDEX('All Facts'!$F:$F,MATCH(Solver!$Z$1,'All Facts'!$B:$B,0),1)*$AB8</f>
        <v>0</v>
      </c>
      <c r="AJ8">
        <f>INDEX('All Facts'!N:N,MATCH(Solver!$Z$1,'All Facts'!$B:$B,0),1)/INDEX('All Facts'!$F:$F,MATCH(Solver!$Z$1,'All Facts'!$B:$B,0),1)*$AB8</f>
        <v>0</v>
      </c>
      <c r="AK8">
        <f>INDEX('All Facts'!O:O,MATCH(Solver!$Z$1,'All Facts'!$B:$B,0),1)/INDEX('All Facts'!$F:$F,MATCH(Solver!$Z$1,'All Facts'!$B:$B,0),1)*$AB8</f>
        <v>16.967525028442331</v>
      </c>
      <c r="AL8">
        <f>INDEX('All Facts'!P:P,MATCH(Solver!$Z$1,'All Facts'!$B:$B,0),1)/INDEX('All Facts'!$F:$F,MATCH(Solver!$Z$1,'All Facts'!$B:$B,0),1)*$AB8</f>
        <v>0</v>
      </c>
      <c r="AM8">
        <f>INDEX('All Facts'!Q:Q,MATCH(Solver!$Z$1,'All Facts'!$B:$B,0),1)/INDEX('All Facts'!$F:$F,MATCH(Solver!$Z$1,'All Facts'!$B:$B,0),1)*$AB8</f>
        <v>3.3935050056884664</v>
      </c>
      <c r="AN8">
        <f>INDEX('All Facts'!R:R,MATCH(Solver!$Z$1,'All Facts'!$B:$B,0),1)/INDEX('All Facts'!$F:$F,MATCH(Solver!$Z$1,'All Facts'!$B:$B,0),1)*$AB8</f>
        <v>0.11311683352294888</v>
      </c>
      <c r="AO8">
        <f>INDEX('All Facts'!S:S,MATCH(Solver!$Z$1,'All Facts'!$B:$B,0),1)/INDEX('All Facts'!$F:$F,MATCH(Solver!$Z$1,'All Facts'!$B:$B,0),1)*$AB8</f>
        <v>23.754535039819263</v>
      </c>
      <c r="AP8">
        <f>INDEX('All Facts'!T:T,MATCH(Solver!$Z$1,'All Facts'!$B:$B,0),1)/INDEX('All Facts'!$F:$F,MATCH(Solver!$Z$1,'All Facts'!$B:$B,0),1)*$AB8</f>
        <v>0.22623366704589776</v>
      </c>
      <c r="AQ8">
        <f>INDEX('All Facts'!U:U,MATCH(Solver!$Z$1,'All Facts'!$B:$B,0),1)/INDEX('All Facts'!$F:$F,MATCH(Solver!$Z$1,'All Facts'!$B:$B,0),1)*$AB8</f>
        <v>0.45246733409179551</v>
      </c>
      <c r="AR8">
        <f>INDEX('All Facts'!V:V,MATCH(Solver!$Z$1,'All Facts'!$B:$B,0),1)/INDEX('All Facts'!$F:$F,MATCH(Solver!$Z$1,'All Facts'!$B:$B,0),1)*$AB8</f>
        <v>0</v>
      </c>
      <c r="AS8">
        <f>INDEX('All Facts'!W:W,MATCH(Solver!$Z$1,'All Facts'!$B:$B,0),1)/INDEX('All Facts'!$F:$F,MATCH(Solver!$Z$1,'All Facts'!$B:$B,0),1)*$AB8</f>
        <v>0</v>
      </c>
      <c r="AT8">
        <f>INDEX('All Facts'!X:X,MATCH(Solver!$Z$1,'All Facts'!$B:$B,0),1)/INDEX('All Facts'!$F:$F,MATCH(Solver!$Z$1,'All Facts'!$B:$B,0),1)*$AB8</f>
        <v>0</v>
      </c>
      <c r="AU8">
        <f>INDEX('All Facts'!Y:Y,MATCH(Solver!$Z$1,'All Facts'!$B:$B,0),1)/INDEX('All Facts'!$F:$F,MATCH(Solver!$Z$1,'All Facts'!$B:$B,0),1)*$AB8</f>
        <v>0</v>
      </c>
      <c r="AV8">
        <f>INDEX('All Facts'!Z:Z,MATCH(Solver!$Z$1,'All Facts'!$B:$B,0),1)/INDEX('All Facts'!$F:$F,MATCH(Solver!$Z$1,'All Facts'!$B:$B,0),1)*$AB8</f>
        <v>0</v>
      </c>
      <c r="AW8" s="7">
        <f>ROUNDDOWN(6/28*Solver!AB8,0)</f>
        <v>0</v>
      </c>
    </row>
    <row r="9" spans="1:49" s="3" customFormat="1" x14ac:dyDescent="0.25">
      <c r="A9" s="3">
        <v>1</v>
      </c>
      <c r="B9" s="4" t="s">
        <v>54</v>
      </c>
      <c r="C9" s="5">
        <v>1124.9983098325142</v>
      </c>
      <c r="D9" s="10">
        <f>IFERROR(Recipie!D11+D$5+AC$2,0)</f>
        <v>1600.0015937302228</v>
      </c>
      <c r="E9" s="10">
        <f>IFERROR(Recipie!E11+E$5+AD$2,0)</f>
        <v>50.713189906376556</v>
      </c>
      <c r="F9" s="10">
        <f>IFERROR(Recipie!F11+F$5+AE$2,0)</f>
        <v>87.216138391735456</v>
      </c>
      <c r="G9" s="10">
        <f>IFERROR(Recipie!G11+G$5+AF$2,0)</f>
        <v>194.06404840643236</v>
      </c>
      <c r="H9" s="10">
        <f>IFERROR(Recipie!H11+H$5+AG$2,0)</f>
        <v>13.490546400325297</v>
      </c>
      <c r="I9" s="10">
        <f>IFERROR(Recipie!I11+I$5+AH$2,0)</f>
        <v>0</v>
      </c>
      <c r="J9" s="10">
        <f>IFERROR(Recipie!J11+J$5+AI$2,0)</f>
        <v>0</v>
      </c>
      <c r="K9" s="10">
        <f>IFERROR(Recipie!K11+K$5+AJ$2,0)</f>
        <v>1998.6753858749501</v>
      </c>
      <c r="L9" s="10">
        <f>IFERROR(Recipie!L11+L$5+AK$2,0)</f>
        <v>6327.6132738091728</v>
      </c>
      <c r="M9" s="10">
        <f>IFERROR(Recipie!M11+M$5+AL$2,0)</f>
        <v>2</v>
      </c>
      <c r="N9" s="10">
        <f>IFERROR(Recipie!N11+N$5+AM$2,0)</f>
        <v>238.60361014042593</v>
      </c>
      <c r="O9" s="10">
        <f>IFERROR(Recipie!O11+O$5+AN$2,0)</f>
        <v>7.7458656158737318</v>
      </c>
      <c r="P9" s="10">
        <f>IFERROR(Recipie!P11+P$5+AO$2,0)</f>
        <v>1091.1684443500303</v>
      </c>
      <c r="Q9" s="10">
        <f>IFERROR(Recipie!Q11+Q$5+AP$2,0)</f>
        <v>5.3013105955053934</v>
      </c>
      <c r="R9" s="10">
        <f>IFERROR(Recipie!R11+R$5+AQ$2,0)</f>
        <v>12.646390624160752</v>
      </c>
      <c r="S9" s="10">
        <f>IFERROR(Recipie!S11+S$5+AR$2,0)</f>
        <v>17.567567567567568</v>
      </c>
      <c r="T9" s="10">
        <f>IFERROR(Recipie!T11+T$5+AS$2,0)</f>
        <v>0.13513513513513514</v>
      </c>
      <c r="U9" s="10">
        <f>IFERROR(Recipie!U11+U$5+AT$2,0)</f>
        <v>110.29395194436414</v>
      </c>
      <c r="V9" s="10">
        <f>IFERROR(Recipie!V11+V$5+AU$2,0)</f>
        <v>3.0882306544421954</v>
      </c>
      <c r="W9" s="10">
        <f>IFERROR(Recipie!W11+W$5+AV$2,0)</f>
        <v>0.48529338855520215</v>
      </c>
      <c r="X9" s="3">
        <v>1155.570768008022</v>
      </c>
      <c r="Y9" s="8">
        <f t="shared" ref="Y9:Y15" si="1">C9*0.00220462262184877</f>
        <v>2.4801967233983921</v>
      </c>
    </row>
    <row r="10" spans="1:49" s="3" customFormat="1" x14ac:dyDescent="0.25">
      <c r="A10" s="3">
        <v>2</v>
      </c>
      <c r="B10" s="3" t="s">
        <v>34</v>
      </c>
      <c r="C10" s="5">
        <v>919.50001816860879</v>
      </c>
      <c r="D10" s="10">
        <f>IFERROR((INDEX('All Facts'!G:G,MATCH(Solver!$B10,'All Facts'!$B:$B,0),1)/INDEX('All Facts'!$F:$F,MATCH(Solver!$B10,'All Facts'!$B:$B,0),1)*$C10)+D$5+AC3,0)</f>
        <v>1600</v>
      </c>
      <c r="E10" s="10">
        <f>IFERROR((INDEX('All Facts'!H:H,MATCH(Solver!$B10,'All Facts'!$B:$B,0),1)/INDEX('All Facts'!$F:$F,MATCH(Solver!$B10,'All Facts'!$B:$B,0),1)*$C10)+E$5+AD3,0)</f>
        <v>76.394389445038016</v>
      </c>
      <c r="F10" s="10">
        <f>IFERROR((INDEX('All Facts'!I:I,MATCH(Solver!$B10,'All Facts'!$B:$B,0),1)/INDEX('All Facts'!$F:$F,MATCH(Solver!$B10,'All Facts'!$B:$B,0),1)*$C10)+F$5+AE3,0)</f>
        <v>26.313396418785544</v>
      </c>
      <c r="G10" s="10">
        <f>IFERROR((INDEX('All Facts'!J:J,MATCH(Solver!$B10,'All Facts'!$B:$B,0),1)/INDEX('All Facts'!$F:$F,MATCH(Solver!$B10,'All Facts'!$B:$B,0),1)*$C10)+G$5+AF3,0)</f>
        <v>202.51282468096002</v>
      </c>
      <c r="H10" s="10">
        <f>IFERROR((INDEX('All Facts'!K:K,MATCH(Solver!$B10,'All Facts'!$B:$B,0),1)/INDEX('All Facts'!$F:$F,MATCH(Solver!$B10,'All Facts'!$B:$B,0),1)*$C10)+H$5+AG3,0)</f>
        <v>6.8592878008458644</v>
      </c>
      <c r="I10" s="10">
        <f>IFERROR((INDEX('All Facts'!L:L,MATCH(Solver!$B10,'All Facts'!$B:$B,0),1)/INDEX('All Facts'!$F:$F,MATCH(Solver!$B10,'All Facts'!$B:$B,0),1)*$C10)+I$5+AH3,0)</f>
        <v>0</v>
      </c>
      <c r="J10" s="10">
        <f>IFERROR((INDEX('All Facts'!M:M,MATCH(Solver!$B10,'All Facts'!$B:$B,0),1)/INDEX('All Facts'!$F:$F,MATCH(Solver!$B10,'All Facts'!$B:$B,0),1)*$C10)+J$5+AI3,0)</f>
        <v>0</v>
      </c>
      <c r="K10" s="10">
        <f>IFERROR((INDEX('All Facts'!N:N,MATCH(Solver!$B10,'All Facts'!$B:$B,0),1)/INDEX('All Facts'!$F:$F,MATCH(Solver!$B10,'All Facts'!$B:$B,0),1)*$C10)+K$5+AJ3,0)</f>
        <v>40.442477876106196</v>
      </c>
      <c r="L10" s="10">
        <f>IFERROR((INDEX('All Facts'!O:O,MATCH(Solver!$B10,'All Facts'!$B:$B,0),1)/INDEX('All Facts'!$F:$F,MATCH(Solver!$B10,'All Facts'!$B:$B,0),1)*$C10)+L$5+AK3,0)</f>
        <v>675.62806451092888</v>
      </c>
      <c r="M10" s="10">
        <f>IFERROR((INDEX('All Facts'!P:P,MATCH(Solver!$B10,'All Facts'!$B:$B,0),1)/INDEX('All Facts'!$F:$F,MATCH(Solver!$B10,'All Facts'!$B:$B,0),1)*$C10)+M$5+AL3,0)</f>
        <v>0</v>
      </c>
      <c r="N10" s="10">
        <f>IFERROR((INDEX('All Facts'!Q:Q,MATCH(Solver!$B10,'All Facts'!$B:$B,0),1)/INDEX('All Facts'!$F:$F,MATCH(Solver!$B10,'All Facts'!$B:$B,0),1)*$C10)+N$5+AM3,0)</f>
        <v>135.02850694667274</v>
      </c>
      <c r="O10" s="10">
        <f>IFERROR((INDEX('All Facts'!R:R,MATCH(Solver!$B10,'All Facts'!$B:$B,0),1)/INDEX('All Facts'!$F:$F,MATCH(Solver!$B10,'All Facts'!$B:$B,0),1)*$C10)+O$5+AN3,0)</f>
        <v>13.447862516267747</v>
      </c>
      <c r="P10" s="10">
        <f>IFERROR((INDEX('All Facts'!S:S,MATCH(Solver!$B10,'All Facts'!$B:$B,0),1)/INDEX('All Facts'!$F:$F,MATCH(Solver!$B10,'All Facts'!$B:$B,0),1)*$C10)+P$5+AO3,0)</f>
        <v>719.96635082713965</v>
      </c>
      <c r="Q10" s="10">
        <f>IFERROR((INDEX('All Facts'!T:T,MATCH(Solver!$B10,'All Facts'!$B:$B,0),1)/INDEX('All Facts'!$F:$F,MATCH(Solver!$B10,'All Facts'!$B:$B,0),1)*$C10)+Q$5+AP3,0)</f>
        <v>2.3963037159218485</v>
      </c>
      <c r="R10" s="10">
        <f>IFERROR((INDEX('All Facts'!U:U,MATCH(Solver!$B10,'All Facts'!$B:$B,0),1)/INDEX('All Facts'!$F:$F,MATCH(Solver!$B10,'All Facts'!$B:$B,0),1)*$C10)+R$5+AQ3,0)</f>
        <v>6.8363768649936603</v>
      </c>
      <c r="S10" s="10">
        <f>IFERROR((INDEX('All Facts'!V:V,MATCH(Solver!$B10,'All Facts'!$B:$B,0),1)/INDEX('All Facts'!$F:$F,MATCH(Solver!$B10,'All Facts'!$B:$B,0),1)*$C10)+S$5+AR3,0)</f>
        <v>17.567567567567568</v>
      </c>
      <c r="T10" s="10">
        <f>IFERROR((INDEX('All Facts'!W:W,MATCH(Solver!$B10,'All Facts'!$B:$B,0),1)/INDEX('All Facts'!$F:$F,MATCH(Solver!$B10,'All Facts'!$B:$B,0),1)*$C10)+T$5+AS3,0)</f>
        <v>0.13513513513513514</v>
      </c>
      <c r="U10" s="10">
        <f>IFERROR((INDEX('All Facts'!X:X,MATCH(Solver!$B10,'All Facts'!$B:$B,0),1)/INDEX('All Facts'!$F:$F,MATCH(Solver!$B10,'All Facts'!$B:$B,0),1)*$C10)+U$5+AT3,0)</f>
        <v>0</v>
      </c>
      <c r="V10" s="10">
        <f>IFERROR((INDEX('All Facts'!Y:Y,MATCH(Solver!$B10,'All Facts'!$B:$B,0),1)/INDEX('All Facts'!$F:$F,MATCH(Solver!$B10,'All Facts'!$B:$B,0),1)*$C10)+V$5+AU3,0)</f>
        <v>0</v>
      </c>
      <c r="W10" s="10">
        <f>IFERROR((INDEX('All Facts'!Z:Z,MATCH(Solver!$B10,'All Facts'!$B:$B,0),1)/INDEX('All Facts'!$F:$F,MATCH(Solver!$B10,'All Facts'!$B:$B,0),1)*$C10)+W$5+AV3,0)</f>
        <v>0</v>
      </c>
      <c r="X10" s="3">
        <v>794.39461873326036</v>
      </c>
      <c r="Y10" s="8">
        <f t="shared" si="1"/>
        <v>2.0271505408448696</v>
      </c>
    </row>
    <row r="11" spans="1:49" s="3" customFormat="1" ht="45" x14ac:dyDescent="0.25">
      <c r="A11" s="3">
        <v>3</v>
      </c>
      <c r="B11" s="4" t="s">
        <v>57</v>
      </c>
      <c r="C11" s="5">
        <v>113.398</v>
      </c>
      <c r="D11" s="10">
        <f>IFERROR((INDEX('All Facts'!G:G,MATCH(Solver!$B11,'All Facts'!$B:$B,0),1)/INDEX('All Facts'!$F:$F,MATCH(Solver!$B11,'All Facts'!$B:$B,0),1)*$C11)+D$5+AC4,0)</f>
        <v>1600.0000000000105</v>
      </c>
      <c r="E11" s="10">
        <f>IFERROR((INDEX('All Facts'!H:H,MATCH(Solver!$B11,'All Facts'!$B:$B,0),1)/INDEX('All Facts'!$F:$F,MATCH(Solver!$B11,'All Facts'!$B:$B,0),1)*$C11)+E$5+AD4,0)</f>
        <v>119.55650099657268</v>
      </c>
      <c r="F11" s="10">
        <f>IFERROR((INDEX('All Facts'!I:I,MATCH(Solver!$B11,'All Facts'!$B:$B,0),1)/INDEX('All Facts'!$F:$F,MATCH(Solver!$B11,'All Facts'!$B:$B,0),1)*$C11)+F$5+AE4,0)</f>
        <v>64.376569507561072</v>
      </c>
      <c r="G11" s="10">
        <f>IFERROR((INDEX('All Facts'!J:J,MATCH(Solver!$B11,'All Facts'!$B:$B,0),1)/INDEX('All Facts'!$F:$F,MATCH(Solver!$B11,'All Facts'!$B:$B,0),1)*$C11)+G$5+AF4,0)</f>
        <v>83.040931621887779</v>
      </c>
      <c r="H11" s="10">
        <f>IFERROR((INDEX('All Facts'!K:K,MATCH(Solver!$B11,'All Facts'!$B:$B,0),1)/INDEX('All Facts'!$F:$F,MATCH(Solver!$B11,'All Facts'!$B:$B,0),1)*$C11)+H$5+AG4,0)</f>
        <v>22.962083499428779</v>
      </c>
      <c r="I11" s="10">
        <f>IFERROR((INDEX('All Facts'!L:L,MATCH(Solver!$B11,'All Facts'!$B:$B,0),1)/INDEX('All Facts'!$F:$F,MATCH(Solver!$B11,'All Facts'!$B:$B,0),1)*$C11)+I$5+AH4,0)</f>
        <v>0</v>
      </c>
      <c r="J11" s="10">
        <f>IFERROR((INDEX('All Facts'!M:M,MATCH(Solver!$B11,'All Facts'!$B:$B,0),1)/INDEX('All Facts'!$F:$F,MATCH(Solver!$B11,'All Facts'!$B:$B,0),1)*$C11)+J$5+AI4,0)</f>
        <v>0</v>
      </c>
      <c r="K11" s="10">
        <f>IFERROR((INDEX('All Facts'!N:N,MATCH(Solver!$B11,'All Facts'!$B:$B,0),1)/INDEX('All Facts'!$F:$F,MATCH(Solver!$B11,'All Facts'!$B:$B,0),1)*$C11)+K$5+AJ4,0)</f>
        <v>105.67141592920353</v>
      </c>
      <c r="L11" s="10">
        <f>IFERROR((INDEX('All Facts'!O:O,MATCH(Solver!$B11,'All Facts'!$B:$B,0),1)/INDEX('All Facts'!$F:$F,MATCH(Solver!$B11,'All Facts'!$B:$B,0),1)*$C11)+L$5+AK4,0)</f>
        <v>1526.3907621781163</v>
      </c>
      <c r="M11" s="10">
        <f>IFERROR((INDEX('All Facts'!P:P,MATCH(Solver!$B11,'All Facts'!$B:$B,0),1)/INDEX('All Facts'!$F:$F,MATCH(Solver!$B11,'All Facts'!$B:$B,0),1)*$C11)+M$5+AL4,0)</f>
        <v>8.0281769911504419</v>
      </c>
      <c r="N11" s="10">
        <f>IFERROR((INDEX('All Facts'!Q:Q,MATCH(Solver!$B11,'All Facts'!$B:$B,0),1)/INDEX('All Facts'!$F:$F,MATCH(Solver!$B11,'All Facts'!$B:$B,0),1)*$C11)+N$5+AM4,0)</f>
        <v>350.33954205533144</v>
      </c>
      <c r="O11" s="10">
        <f>IFERROR((INDEX('All Facts'!R:R,MATCH(Solver!$B11,'All Facts'!$B:$B,0),1)/INDEX('All Facts'!$F:$F,MATCH(Solver!$B11,'All Facts'!$B:$B,0),1)*$C11)+O$5+AN4,0)</f>
        <v>7.0633155810678527</v>
      </c>
      <c r="P11" s="10">
        <f>IFERROR((INDEX('All Facts'!S:S,MATCH(Solver!$B11,'All Facts'!$B:$B,0),1)/INDEX('All Facts'!$F:$F,MATCH(Solver!$B11,'All Facts'!$B:$B,0),1)*$C11)+P$5+AO4,0)</f>
        <v>2239.1858620744761</v>
      </c>
      <c r="Q11" s="10">
        <f>IFERROR((INDEX('All Facts'!T:T,MATCH(Solver!$B11,'All Facts'!$B:$B,0),1)/INDEX('All Facts'!$F:$F,MATCH(Solver!$B11,'All Facts'!$B:$B,0),1)*$C11)+Q$5+AP4,0)</f>
        <v>13.27149602700057</v>
      </c>
      <c r="R11" s="10">
        <f>IFERROR((INDEX('All Facts'!U:U,MATCH(Solver!$B11,'All Facts'!$B:$B,0),1)/INDEX('All Facts'!$F:$F,MATCH(Solver!$B11,'All Facts'!$B:$B,0),1)*$C11)+R$5+AQ4,0)</f>
        <v>28.586761487151104</v>
      </c>
      <c r="S11" s="10">
        <f>IFERROR((INDEX('All Facts'!V:V,MATCH(Solver!$B11,'All Facts'!$B:$B,0),1)/INDEX('All Facts'!$F:$F,MATCH(Solver!$B11,'All Facts'!$B:$B,0),1)*$C11)+S$5+AR4,0)</f>
        <v>17.567567567567568</v>
      </c>
      <c r="T11" s="10">
        <f>IFERROR((INDEX('All Facts'!W:W,MATCH(Solver!$B11,'All Facts'!$B:$B,0),1)/INDEX('All Facts'!$F:$F,MATCH(Solver!$B11,'All Facts'!$B:$B,0),1)*$C11)+T$5+AS4,0)</f>
        <v>0.13513513513513514</v>
      </c>
      <c r="U11" s="10">
        <f>IFERROR((INDEX('All Facts'!X:X,MATCH(Solver!$B11,'All Facts'!$B:$B,0),1)/INDEX('All Facts'!$F:$F,MATCH(Solver!$B11,'All Facts'!$B:$B,0),1)*$C11)+U$5+AT4,0)</f>
        <v>0</v>
      </c>
      <c r="V11" s="10">
        <f>IFERROR((INDEX('All Facts'!Y:Y,MATCH(Solver!$B11,'All Facts'!$B:$B,0),1)/INDEX('All Facts'!$F:$F,MATCH(Solver!$B11,'All Facts'!$B:$B,0),1)*$C11)+V$5+AU4,0)</f>
        <v>0</v>
      </c>
      <c r="W11" s="10">
        <f>IFERROR((INDEX('All Facts'!Z:Z,MATCH(Solver!$B11,'All Facts'!$B:$B,0),1)/INDEX('All Facts'!$F:$F,MATCH(Solver!$B11,'All Facts'!$B:$B,0),1)*$C11)+W$5+AV4,0)</f>
        <v>0</v>
      </c>
      <c r="X11" s="3">
        <v>465.47895010395928</v>
      </c>
      <c r="Y11" s="8">
        <f t="shared" si="1"/>
        <v>0.2499997960724068</v>
      </c>
      <c r="AB11" s="9">
        <f>SUM(AB2:AB8)</f>
        <v>554.46946667434656</v>
      </c>
    </row>
    <row r="12" spans="1:49" s="3" customFormat="1" ht="30" x14ac:dyDescent="0.25">
      <c r="A12" s="3">
        <v>4</v>
      </c>
      <c r="B12" s="4" t="s">
        <v>42</v>
      </c>
      <c r="C12" s="5">
        <v>853.35833650648772</v>
      </c>
      <c r="D12" s="9">
        <f>IFERROR(Recipie!D5+D$5+AC$5,0)</f>
        <v>1600</v>
      </c>
      <c r="E12" s="9">
        <f>IFERROR(Recipie!E5+E$5+AD$5,0)</f>
        <v>30.404521463918631</v>
      </c>
      <c r="F12" s="9">
        <f>IFERROR(Recipie!F5+F$5+AE$5,0)</f>
        <v>93.545174082722525</v>
      </c>
      <c r="G12" s="9">
        <f>IFERROR(Recipie!G5+G$5+AF$5,0)</f>
        <v>227.60842365113186</v>
      </c>
      <c r="H12" s="9">
        <f>IFERROR(Recipie!H5+H$5+AG$5,0)</f>
        <v>8.8358898496381304</v>
      </c>
      <c r="I12" s="9">
        <f>IFERROR(Recipie!I5+I$5+AH$5,0)</f>
        <v>0</v>
      </c>
      <c r="J12" s="9">
        <f>IFERROR(Recipie!J5+J$5+AI$5,0)</f>
        <v>0</v>
      </c>
      <c r="K12" s="9">
        <f>IFERROR(Recipie!K5+K$5+AJ$5,0)</f>
        <v>1019.9841468093117</v>
      </c>
      <c r="L12" s="9">
        <f>IFERROR(Recipie!L5+L$5+AK$5,0)</f>
        <v>1325.6695020633449</v>
      </c>
      <c r="M12" s="9">
        <f>IFERROR(Recipie!M5+M$5+AL$5,0)</f>
        <v>2</v>
      </c>
      <c r="N12" s="9">
        <f>IFERROR(Recipie!N5+N$5+AM$5,0)</f>
        <v>182.74773153217993</v>
      </c>
      <c r="O12" s="9">
        <f>IFERROR(Recipie!O5+O$5+AN$5,0)</f>
        <v>9.7213186033106602</v>
      </c>
      <c r="P12" s="9">
        <f>IFERROR(Recipie!P5+P$5+AO$5,0)</f>
        <v>725.43217326567083</v>
      </c>
      <c r="Q12" s="9">
        <f>IFERROR(Recipie!Q5+Q$5+AP$5,0)</f>
        <v>1.5775853549556611</v>
      </c>
      <c r="R12" s="9">
        <f>IFERROR(Recipie!R5+R$5+AQ$5,0)</f>
        <v>5.1989401430612858</v>
      </c>
      <c r="S12" s="9">
        <f>IFERROR(Recipie!S5+S$5+AR$5,0)</f>
        <v>17.567567567567568</v>
      </c>
      <c r="T12" s="9">
        <f>IFERROR(Recipie!T5+T$5+AS$5,0)</f>
        <v>0.13513513513513514</v>
      </c>
      <c r="U12" s="9">
        <f>IFERROR(Recipie!U5+U$5+AT$5,0)</f>
        <v>152.38541723330138</v>
      </c>
      <c r="V12" s="9">
        <f>IFERROR(Recipie!V5+V$5+AU$5,0)</f>
        <v>4.2667916825324381</v>
      </c>
      <c r="W12" s="9">
        <f>IFERROR(Recipie!W5+W$5+AV$5,0)</f>
        <v>0.67049583582652605</v>
      </c>
      <c r="X12" s="3">
        <v>677.10073715945987</v>
      </c>
      <c r="Y12" s="8">
        <f t="shared" si="1"/>
        <v>1.8813330932054377</v>
      </c>
    </row>
    <row r="13" spans="1:49" s="3" customFormat="1" x14ac:dyDescent="0.25">
      <c r="A13" s="3">
        <v>5</v>
      </c>
      <c r="B13" s="4" t="s">
        <v>58</v>
      </c>
      <c r="C13" s="5">
        <v>113.398</v>
      </c>
      <c r="D13" s="10">
        <f>IFERROR(Recipie!D17+D$5+AC$6,0)</f>
        <v>1599.9999999999848</v>
      </c>
      <c r="E13" s="10">
        <f>IFERROR(Recipie!E17+E$5+AD$6,0)</f>
        <v>114.35817437270563</v>
      </c>
      <c r="F13" s="10">
        <f>IFERROR(Recipie!F17+F$5+AE$6,0)</f>
        <v>73.629274032595248</v>
      </c>
      <c r="G13" s="10">
        <f>IFERROR(Recipie!G17+G$5+AF$6,0)</f>
        <v>85.218333179717405</v>
      </c>
      <c r="H13" s="10">
        <f>IFERROR(Recipie!H17+H$5+AG$6,0)</f>
        <v>23.43137714471348</v>
      </c>
      <c r="I13" s="10">
        <f>IFERROR(Recipie!I17+I$5+AH$6,0)</f>
        <v>0</v>
      </c>
      <c r="J13" s="10">
        <f>IFERROR(Recipie!J17+J$5+AI$6,0)</f>
        <v>0</v>
      </c>
      <c r="K13" s="10">
        <f>IFERROR(Recipie!K17+K$5+AJ$6,0)</f>
        <v>385.53377199375325</v>
      </c>
      <c r="L13" s="10">
        <f>IFERROR(Recipie!L17+L$5+AK$6,0)</f>
        <v>2183.5910722018093</v>
      </c>
      <c r="M13" s="10">
        <f>IFERROR(Recipie!M17+M$5+AL$6,0)</f>
        <v>1</v>
      </c>
      <c r="N13" s="10">
        <f>IFERROR(Recipie!N17+N$5+AM$6,0)</f>
        <v>345.89357907308408</v>
      </c>
      <c r="O13" s="10">
        <f>IFERROR(Recipie!O17+O$5+AN$6,0)</f>
        <v>8.8436088885657327</v>
      </c>
      <c r="P13" s="10">
        <f>IFERROR(Recipie!P17+P$5+AO$6,0)</f>
        <v>1992.6923263002545</v>
      </c>
      <c r="Q13" s="10">
        <f>IFERROR(Recipie!Q17+Q$5+AP$6,0)</f>
        <v>14.453975191015939</v>
      </c>
      <c r="R13" s="10">
        <f>IFERROR(Recipie!R17+R$5+AQ$6,0)</f>
        <v>30.951719815181843</v>
      </c>
      <c r="S13" s="10">
        <f>IFERROR(Recipie!S17+S$5+AR$6,0)</f>
        <v>17.567567567567568</v>
      </c>
      <c r="T13" s="10">
        <f>IFERROR(Recipie!T17+T$5+AS$6,0)</f>
        <v>0.13513513513513514</v>
      </c>
      <c r="U13" s="10">
        <f>IFERROR(Recipie!U17+U$5+AT$6,0)</f>
        <v>11.117450980392157</v>
      </c>
      <c r="V13" s="10">
        <f>IFERROR(Recipie!V17+V$5+AU$6,0)</f>
        <v>0.31128862745098035</v>
      </c>
      <c r="W13" s="10">
        <f>IFERROR(Recipie!W17+W$5+AV$6,0)</f>
        <v>4.8916784313725488E-2</v>
      </c>
      <c r="X13" s="3">
        <v>1155.570768008022</v>
      </c>
      <c r="Y13" s="8">
        <f t="shared" si="1"/>
        <v>0.2499997960724068</v>
      </c>
    </row>
    <row r="14" spans="1:49" x14ac:dyDescent="0.25">
      <c r="A14" s="3">
        <v>6</v>
      </c>
      <c r="B14" s="3" t="s">
        <v>34</v>
      </c>
      <c r="C14" s="5">
        <v>709.94005525796592</v>
      </c>
      <c r="D14" s="10">
        <f>IFERROR((INDEX('All Facts'!G:G,MATCH(Solver!$B14,'All Facts'!$B:$B,0),1)/INDEX('All Facts'!$F:$F,MATCH(Solver!$B14,'All Facts'!$B:$B,0),1)*$C14)+D$5+AC7,0)</f>
        <v>1600</v>
      </c>
      <c r="E14" s="10">
        <f>IFERROR((INDEX('All Facts'!H:H,MATCH(Solver!$B14,'All Facts'!$B:$B,0),1)/INDEX('All Facts'!$F:$F,MATCH(Solver!$B14,'All Facts'!$B:$B,0),1)*$C14)+E$5+AD7,0)</f>
        <v>86.841203072279882</v>
      </c>
      <c r="F14" s="10">
        <f>IFERROR((INDEX('All Facts'!I:I,MATCH(Solver!$B14,'All Facts'!$B:$B,0),1)/INDEX('All Facts'!$F:$F,MATCH(Solver!$B14,'All Facts'!$B:$B,0),1)*$C14)+F$5+AE7,0)</f>
        <v>37.300741696392166</v>
      </c>
      <c r="G14" s="10">
        <f>IFERROR((INDEX('All Facts'!J:J,MATCH(Solver!$B14,'All Facts'!$B:$B,0),1)/INDEX('All Facts'!$F:$F,MATCH(Solver!$B14,'All Facts'!$B:$B,0),1)*$C14)+G$5+AF7,0)</f>
        <v>172.33660581540468</v>
      </c>
      <c r="H14" s="10">
        <f>IFERROR((INDEX('All Facts'!K:K,MATCH(Solver!$B14,'All Facts'!$B:$B,0),1)/INDEX('All Facts'!$F:$F,MATCH(Solver!$B14,'All Facts'!$B:$B,0),1)*$C14)+H$5+AG7,0)</f>
        <v>10.783339685705371</v>
      </c>
      <c r="I14" s="10">
        <f>IFERROR((INDEX('All Facts'!L:L,MATCH(Solver!$B14,'All Facts'!$B:$B,0),1)/INDEX('All Facts'!$F:$F,MATCH(Solver!$B14,'All Facts'!$B:$B,0),1)*$C14)+I$5+AH7,0)</f>
        <v>0</v>
      </c>
      <c r="J14" s="10">
        <f>IFERROR((INDEX('All Facts'!M:M,MATCH(Solver!$B14,'All Facts'!$B:$B,0),1)/INDEX('All Facts'!$F:$F,MATCH(Solver!$B14,'All Facts'!$B:$B,0),1)*$C14)+J$5+AI7,0)</f>
        <v>0</v>
      </c>
      <c r="K14" s="10">
        <f>IFERROR((INDEX('All Facts'!N:N,MATCH(Solver!$B14,'All Facts'!$B:$B,0),1)/INDEX('All Facts'!$F:$F,MATCH(Solver!$B14,'All Facts'!$B:$B,0),1)*$C14)+K$5+AJ7,0)</f>
        <v>40.442477876106196</v>
      </c>
      <c r="L14" s="10">
        <f>IFERROR((INDEX('All Facts'!O:O,MATCH(Solver!$B14,'All Facts'!$B:$B,0),1)/INDEX('All Facts'!$F:$F,MATCH(Solver!$B14,'All Facts'!$B:$B,0),1)*$C14)+L$5+AK7,0)</f>
        <v>911.07117760249935</v>
      </c>
      <c r="M14" s="10">
        <f>IFERROR((INDEX('All Facts'!P:P,MATCH(Solver!$B14,'All Facts'!$B:$B,0),1)/INDEX('All Facts'!$F:$F,MATCH(Solver!$B14,'All Facts'!$B:$B,0),1)*$C14)+M$5+AL7,0)</f>
        <v>0</v>
      </c>
      <c r="N14" s="10">
        <f>IFERROR((INDEX('All Facts'!Q:Q,MATCH(Solver!$B14,'All Facts'!$B:$B,0),1)/INDEX('All Facts'!$F:$F,MATCH(Solver!$B14,'All Facts'!$B:$B,0),1)*$C14)+N$5+AM7,0)</f>
        <v>182.11712956498684</v>
      </c>
      <c r="O14" s="10">
        <f>IFERROR((INDEX('All Facts'!R:R,MATCH(Solver!$B14,'All Facts'!$B:$B,0),1)/INDEX('All Facts'!$F:$F,MATCH(Solver!$B14,'All Facts'!$B:$B,0),1)*$C14)+O$5+AN7,0)</f>
        <v>12.323140889931857</v>
      </c>
      <c r="P14" s="10">
        <f>IFERROR((INDEX('All Facts'!S:S,MATCH(Solver!$B14,'All Facts'!$B:$B,0),1)/INDEX('All Facts'!$F:$F,MATCH(Solver!$B14,'All Facts'!$B:$B,0),1)*$C14)+P$5+AO7,0)</f>
        <v>1049.5867091553384</v>
      </c>
      <c r="Q14" s="10">
        <f>IFERROR((INDEX('All Facts'!T:T,MATCH(Solver!$B14,'All Facts'!$B:$B,0),1)/INDEX('All Facts'!$F:$F,MATCH(Solver!$B14,'All Facts'!$B:$B,0),1)*$C14)+Q$5+AP7,0)</f>
        <v>5.5355452238094554</v>
      </c>
      <c r="R14" s="10">
        <f>IFERROR((INDEX('All Facts'!U:U,MATCH(Solver!$B14,'All Facts'!$B:$B,0),1)/INDEX('All Facts'!$F:$F,MATCH(Solver!$B14,'All Facts'!$B:$B,0),1)*$C14)+R$5+AQ7,0)</f>
        <v>13.114859880768874</v>
      </c>
      <c r="S14" s="10">
        <f>IFERROR((INDEX('All Facts'!V:V,MATCH(Solver!$B14,'All Facts'!$B:$B,0),1)/INDEX('All Facts'!$F:$F,MATCH(Solver!$B14,'All Facts'!$B:$B,0),1)*$C14)+S$5+AR7,0)</f>
        <v>17.567567567567568</v>
      </c>
      <c r="T14" s="10">
        <f>IFERROR((INDEX('All Facts'!W:W,MATCH(Solver!$B14,'All Facts'!$B:$B,0),1)/INDEX('All Facts'!$F:$F,MATCH(Solver!$B14,'All Facts'!$B:$B,0),1)*$C14)+T$5+AS7,0)</f>
        <v>0.13513513513513514</v>
      </c>
      <c r="U14" s="10">
        <f>IFERROR((INDEX('All Facts'!X:X,MATCH(Solver!$B14,'All Facts'!$B:$B,0),1)/INDEX('All Facts'!$F:$F,MATCH(Solver!$B14,'All Facts'!$B:$B,0),1)*$C14)+U$5+AT7,0)</f>
        <v>0</v>
      </c>
      <c r="V14" s="10">
        <f>IFERROR((INDEX('All Facts'!Y:Y,MATCH(Solver!$B14,'All Facts'!$B:$B,0),1)/INDEX('All Facts'!$F:$F,MATCH(Solver!$B14,'All Facts'!$B:$B,0),1)*$C14)+V$5+AU7,0)</f>
        <v>0</v>
      </c>
      <c r="W14" s="10">
        <f>IFERROR((INDEX('All Facts'!Z:Z,MATCH(Solver!$B14,'All Facts'!$B:$B,0),1)/INDEX('All Facts'!$F:$F,MATCH(Solver!$B14,'All Facts'!$B:$B,0),1)*$C14)+W$5+AV7,0)</f>
        <v>0</v>
      </c>
      <c r="X14" s="3">
        <v>794.39461873326036</v>
      </c>
      <c r="Y14" s="8">
        <f t="shared" si="1"/>
        <v>1.5651499059782774</v>
      </c>
    </row>
    <row r="15" spans="1:49" ht="30" x14ac:dyDescent="0.25">
      <c r="A15" s="3">
        <v>7</v>
      </c>
      <c r="B15" s="4" t="s">
        <v>42</v>
      </c>
      <c r="C15" s="5">
        <v>853.35835853576543</v>
      </c>
      <c r="D15" s="9">
        <f>IFERROR(Recipie!D23+D$5+AC$8,0)</f>
        <v>1599.9999999999998</v>
      </c>
      <c r="E15" s="9">
        <f>IFERROR(Recipie!E23+E$5+AD$8,0)</f>
        <v>30.404519136420518</v>
      </c>
      <c r="F15" s="9">
        <f>IFERROR(Recipie!F23+F$5+AE$8,0)</f>
        <v>93.545174714315905</v>
      </c>
      <c r="G15" s="9">
        <f>IFERROR(Recipie!G23+G$5+AF$8,0)</f>
        <v>227.60842754777889</v>
      </c>
      <c r="H15" s="9">
        <f>IFERROR(Recipie!H23+H$5+AG$8,0)</f>
        <v>8.8358894289401153</v>
      </c>
      <c r="I15" s="9">
        <f>IFERROR(Recipie!I23+I$5+AH$8,0)</f>
        <v>0</v>
      </c>
      <c r="J15" s="9">
        <f>IFERROR(Recipie!J23+J$5+AI$8,0)</f>
        <v>0</v>
      </c>
      <c r="K15" s="9">
        <f>IFERROR(Recipie!K23+K$5+AJ$8,0)</f>
        <v>1019.9841625445101</v>
      </c>
      <c r="L15" s="9">
        <f>IFERROR(Recipie!L23+L$5+AK$8,0)</f>
        <v>1325.6694915732126</v>
      </c>
      <c r="M15" s="9">
        <f>IFERROR(Recipie!M23+M$5+AL$8,0)</f>
        <v>2</v>
      </c>
      <c r="N15" s="9">
        <f>IFERROR(Recipie!N23+N$5+AM$8,0)</f>
        <v>182.74772648380375</v>
      </c>
      <c r="O15" s="9">
        <f>IFERROR(Recipie!O23+O$5+AN$8,0)</f>
        <v>9.7213186081186347</v>
      </c>
      <c r="P15" s="9">
        <f>IFERROR(Recipie!P23+P$5+AO$8,0)</f>
        <v>725.43214028731734</v>
      </c>
      <c r="Q15" s="9">
        <f>IFERROR(Recipie!Q23+Q$5+AP$8,0)</f>
        <v>1.5775850183972491</v>
      </c>
      <c r="R15" s="9">
        <f>IFERROR(Recipie!R23+R$5+AQ$8,0)</f>
        <v>5.1989394699444622</v>
      </c>
      <c r="S15" s="9">
        <f>IFERROR(Recipie!S23+S$5+AR$8,0)</f>
        <v>17.567567567567568</v>
      </c>
      <c r="T15" s="9">
        <f>IFERROR(Recipie!T23+T$5+AS$8,0)</f>
        <v>0.13513513513513514</v>
      </c>
      <c r="U15" s="9">
        <f>IFERROR(Recipie!U23+U$5+AT$8,0)</f>
        <v>152.38542116710096</v>
      </c>
      <c r="V15" s="9">
        <f>IFERROR(Recipie!V23+V$5+AU$8,0)</f>
        <v>4.2667917926788261</v>
      </c>
      <c r="W15" s="9">
        <f>IFERROR(Recipie!W23+W$5+AV$8,0)</f>
        <v>0.67049585313524418</v>
      </c>
      <c r="X15" s="3">
        <v>677</v>
      </c>
      <c r="Y15" s="8">
        <f t="shared" si="1"/>
        <v>1.8813331417716816</v>
      </c>
    </row>
    <row r="18" spans="4:7" x14ac:dyDescent="0.25">
      <c r="D18" s="12"/>
    </row>
    <row r="19" spans="4:7" x14ac:dyDescent="0.25">
      <c r="D19" s="12"/>
    </row>
    <row r="22" spans="4:7" x14ac:dyDescent="0.25">
      <c r="F22" s="1"/>
    </row>
    <row r="23" spans="4:7" x14ac:dyDescent="0.25">
      <c r="F23" t="s">
        <v>48</v>
      </c>
      <c r="G23" t="s">
        <v>49</v>
      </c>
    </row>
    <row r="24" spans="4:7" x14ac:dyDescent="0.25">
      <c r="E24" t="s">
        <v>70</v>
      </c>
      <c r="F24">
        <f>F26-F34</f>
        <v>129</v>
      </c>
      <c r="G24" s="12">
        <f>MIN(G9:G15)</f>
        <v>83.040931621887779</v>
      </c>
    </row>
    <row r="25" spans="4:7" x14ac:dyDescent="0.25">
      <c r="E25" t="s">
        <v>71</v>
      </c>
      <c r="F25">
        <f>F34+F26</f>
        <v>211</v>
      </c>
      <c r="G25" s="12">
        <f>MAX(G9:G15)</f>
        <v>227.60842754777889</v>
      </c>
    </row>
    <row r="26" spans="4:7" x14ac:dyDescent="0.25">
      <c r="E26" t="s">
        <v>72</v>
      </c>
      <c r="F26">
        <v>170</v>
      </c>
      <c r="G26" s="12">
        <f>AVERAGE(G9:G15)</f>
        <v>170.34137070047331</v>
      </c>
    </row>
    <row r="27" spans="4:7" x14ac:dyDescent="0.25">
      <c r="E27" t="s">
        <v>66</v>
      </c>
      <c r="F27">
        <f>F29-G34</f>
        <v>1436</v>
      </c>
      <c r="G27" s="12">
        <f>MIN(D9:D15)</f>
        <v>1599.9999999999848</v>
      </c>
    </row>
    <row r="28" spans="4:7" x14ac:dyDescent="0.25">
      <c r="E28" t="s">
        <v>68</v>
      </c>
      <c r="F28">
        <f>F29+G34</f>
        <v>1764</v>
      </c>
      <c r="G28" s="12">
        <f>MAX(D9:D15)</f>
        <v>1600.0015937302228</v>
      </c>
    </row>
    <row r="29" spans="4:7" x14ac:dyDescent="0.25">
      <c r="E29" t="s">
        <v>67</v>
      </c>
      <c r="F29">
        <v>1600</v>
      </c>
      <c r="G29" s="12">
        <f>AVERAGE(D9:D15)</f>
        <v>1600.0002276757455</v>
      </c>
    </row>
    <row r="33" spans="5:7" x14ac:dyDescent="0.25">
      <c r="F33" t="s">
        <v>65</v>
      </c>
      <c r="G33" t="s">
        <v>8</v>
      </c>
    </row>
    <row r="34" spans="5:7" x14ac:dyDescent="0.25">
      <c r="E34" t="s">
        <v>69</v>
      </c>
      <c r="F34">
        <v>41</v>
      </c>
      <c r="G34">
        <f>4*F34</f>
        <v>164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E5ED9-40BA-429B-AC51-010A3208DFE0}">
  <dimension ref="B1:D11"/>
  <sheetViews>
    <sheetView workbookViewId="0">
      <selection activeCell="C6" sqref="C6"/>
    </sheetView>
  </sheetViews>
  <sheetFormatPr defaultRowHeight="15" x14ac:dyDescent="0.25"/>
  <cols>
    <col min="2" max="2" width="34.28515625" bestFit="1" customWidth="1"/>
    <col min="3" max="3" width="8.140625" bestFit="1" customWidth="1"/>
  </cols>
  <sheetData>
    <row r="1" spans="2:4" x14ac:dyDescent="0.25">
      <c r="B1" s="4" t="s">
        <v>1</v>
      </c>
      <c r="C1" t="s">
        <v>63</v>
      </c>
      <c r="D1" t="s">
        <v>59</v>
      </c>
    </row>
    <row r="2" spans="2:4" x14ac:dyDescent="0.25">
      <c r="B2" s="4" t="s">
        <v>57</v>
      </c>
      <c r="C2" s="13">
        <f>Solver!Y11</f>
        <v>0.2499997960724068</v>
      </c>
      <c r="D2" t="s">
        <v>53</v>
      </c>
    </row>
    <row r="3" spans="2:4" x14ac:dyDescent="0.25">
      <c r="B3" s="4" t="s">
        <v>21</v>
      </c>
      <c r="C3" s="13">
        <f>Solver!Y12</f>
        <v>1.8813330932054377</v>
      </c>
      <c r="D3" t="s">
        <v>53</v>
      </c>
    </row>
    <row r="4" spans="2:4" ht="30" x14ac:dyDescent="0.25">
      <c r="B4" s="4" t="s">
        <v>23</v>
      </c>
      <c r="C4" s="13">
        <f>Solver!Y13+Solver!Y9</f>
        <v>2.7301965194707991</v>
      </c>
      <c r="D4" t="s">
        <v>53</v>
      </c>
    </row>
    <row r="5" spans="2:4" x14ac:dyDescent="0.25">
      <c r="B5" s="4" t="s">
        <v>24</v>
      </c>
      <c r="C5" s="13">
        <f>(Solver!C3*6)*0.00220462262184877</f>
        <v>1.3227735731092618</v>
      </c>
      <c r="D5" t="s">
        <v>53</v>
      </c>
    </row>
    <row r="6" spans="2:4" x14ac:dyDescent="0.25">
      <c r="B6" s="4" t="s">
        <v>30</v>
      </c>
      <c r="C6" s="12">
        <f>(Solver!AB11)*('All Facts'!D6/'All Facts'!F6)</f>
        <v>34.65434166714666</v>
      </c>
      <c r="D6" t="s">
        <v>31</v>
      </c>
    </row>
    <row r="7" spans="2:4" x14ac:dyDescent="0.25">
      <c r="B7" s="4" t="s">
        <v>32</v>
      </c>
      <c r="C7">
        <f>(Solver!C4*6)*('All Facts'!D7/'All Facts'!F7)</f>
        <v>12</v>
      </c>
      <c r="D7" t="s">
        <v>60</v>
      </c>
    </row>
    <row r="8" spans="2:4" x14ac:dyDescent="0.25">
      <c r="B8" s="4" t="s">
        <v>34</v>
      </c>
      <c r="C8" s="13">
        <f>Solver!Y10+Solver!Y14</f>
        <v>3.5923004468231472</v>
      </c>
      <c r="D8" t="s">
        <v>53</v>
      </c>
    </row>
    <row r="9" spans="2:4" x14ac:dyDescent="0.25">
      <c r="B9" s="4" t="s">
        <v>35</v>
      </c>
      <c r="C9">
        <f>(Recipie!C2+Recipie!C8+Recipie!C14)*('All Facts'!D9/'All Facts'!F9)</f>
        <v>5</v>
      </c>
      <c r="D9" t="s">
        <v>61</v>
      </c>
    </row>
    <row r="10" spans="2:4" x14ac:dyDescent="0.25">
      <c r="B10" s="4" t="s">
        <v>37</v>
      </c>
      <c r="C10" s="13">
        <f>(Recipie!C3+Recipie!C9+Recipie!C15)*('All Facts'!D10/'All Facts'!F10)</f>
        <v>1.3689841007902883</v>
      </c>
      <c r="D10" t="s">
        <v>62</v>
      </c>
    </row>
    <row r="11" spans="2:4" ht="30" x14ac:dyDescent="0.25">
      <c r="B11" s="4" t="s">
        <v>74</v>
      </c>
      <c r="C11" s="14">
        <f>(Solver!C2*6)*('All Facts'!D12/'All Facts'!F12)</f>
        <v>3.0530973451327434</v>
      </c>
      <c r="D11" t="s">
        <v>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C2E54-A3CF-430E-8E8F-BE58F64329DF}">
  <dimension ref="A1:AC25"/>
  <sheetViews>
    <sheetView topLeftCell="B1" workbookViewId="0">
      <selection activeCell="V7" sqref="V7"/>
    </sheetView>
  </sheetViews>
  <sheetFormatPr defaultRowHeight="15" x14ac:dyDescent="0.25"/>
  <cols>
    <col min="1" max="1" width="12.42578125" bestFit="1" customWidth="1"/>
    <col min="2" max="2" width="23.140625" style="1" bestFit="1" customWidth="1"/>
    <col min="3" max="3" width="11.85546875" bestFit="1" customWidth="1"/>
    <col min="6" max="6" width="7.5703125" bestFit="1" customWidth="1"/>
    <col min="7" max="7" width="9.5703125" bestFit="1" customWidth="1"/>
    <col min="8" max="9" width="6.5703125" bestFit="1" customWidth="1"/>
    <col min="10" max="10" width="7.5703125" bestFit="1" customWidth="1"/>
    <col min="11" max="11" width="9.7109375" bestFit="1" customWidth="1"/>
    <col min="12" max="12" width="13.42578125" bestFit="1" customWidth="1"/>
    <col min="13" max="13" width="15" customWidth="1"/>
    <col min="14" max="14" width="11.28515625" customWidth="1"/>
    <col min="15" max="15" width="7.7109375" bestFit="1" customWidth="1"/>
    <col min="16" max="17" width="8" bestFit="1" customWidth="1"/>
    <col min="18" max="18" width="4.5703125" bestFit="1" customWidth="1"/>
    <col min="19" max="19" width="10.140625" bestFit="1" customWidth="1"/>
    <col min="20" max="20" width="7.42578125" bestFit="1" customWidth="1"/>
    <col min="21" max="21" width="6.7109375" bestFit="1" customWidth="1"/>
    <col min="22" max="23" width="8" bestFit="1" customWidth="1"/>
    <col min="24" max="24" width="5.140625" bestFit="1" customWidth="1"/>
    <col min="25" max="25" width="4.5703125" bestFit="1" customWidth="1"/>
    <col min="26" max="26" width="8.5703125" bestFit="1" customWidth="1"/>
  </cols>
  <sheetData>
    <row r="1" spans="1:29" s="4" customFormat="1" ht="45" x14ac:dyDescent="0.25">
      <c r="A1" s="4" t="s">
        <v>0</v>
      </c>
      <c r="B1" s="4" t="s">
        <v>1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17</v>
      </c>
      <c r="Q1" s="4" t="s">
        <v>18</v>
      </c>
      <c r="R1" s="4" t="s">
        <v>19</v>
      </c>
      <c r="S1" s="4" t="s">
        <v>20</v>
      </c>
      <c r="T1" s="4" t="s">
        <v>26</v>
      </c>
      <c r="U1" s="4" t="s">
        <v>27</v>
      </c>
      <c r="V1" s="4" t="s">
        <v>78</v>
      </c>
      <c r="X1" s="3" t="s">
        <v>22</v>
      </c>
      <c r="Y1" s="3" t="s">
        <v>80</v>
      </c>
      <c r="Z1" s="3" t="s">
        <v>88</v>
      </c>
      <c r="AA1" s="4" t="s">
        <v>38</v>
      </c>
      <c r="AB1" s="4" t="s">
        <v>93</v>
      </c>
    </row>
    <row r="2" spans="1:29" s="3" customFormat="1" x14ac:dyDescent="0.25">
      <c r="A2" s="3" t="s">
        <v>2</v>
      </c>
      <c r="B2" s="4" t="s">
        <v>30</v>
      </c>
      <c r="C2" s="3">
        <v>35</v>
      </c>
      <c r="D2" s="3">
        <v>2</v>
      </c>
      <c r="E2" s="3" t="s">
        <v>31</v>
      </c>
      <c r="F2" s="3">
        <v>32</v>
      </c>
      <c r="G2" s="3">
        <v>180</v>
      </c>
      <c r="H2" s="3">
        <v>15</v>
      </c>
      <c r="I2" s="3">
        <v>7</v>
      </c>
      <c r="J2" s="3">
        <v>7</v>
      </c>
      <c r="K2" s="3">
        <v>2.5</v>
      </c>
      <c r="O2" s="3">
        <v>150</v>
      </c>
      <c r="Q2" s="3">
        <v>30</v>
      </c>
      <c r="R2" s="3">
        <v>1</v>
      </c>
      <c r="S2" s="3">
        <v>210</v>
      </c>
      <c r="T2" s="3">
        <v>2</v>
      </c>
      <c r="U2" s="3">
        <v>4</v>
      </c>
      <c r="V2" s="15">
        <v>1.5625</v>
      </c>
      <c r="Z2" s="3">
        <f>F11</f>
        <v>50</v>
      </c>
      <c r="AB2" s="3">
        <f>V2*4</f>
        <v>6.25</v>
      </c>
      <c r="AC2" s="3" t="s">
        <v>97</v>
      </c>
    </row>
    <row r="3" spans="1:29" s="3" customFormat="1" x14ac:dyDescent="0.25">
      <c r="A3" s="3" t="s">
        <v>2</v>
      </c>
      <c r="B3" s="4" t="s">
        <v>32</v>
      </c>
      <c r="C3" s="3">
        <v>7</v>
      </c>
      <c r="D3" s="3">
        <v>2</v>
      </c>
      <c r="E3" s="3" t="s">
        <v>33</v>
      </c>
      <c r="F3" s="3">
        <v>15</v>
      </c>
      <c r="G3" s="3">
        <v>80</v>
      </c>
      <c r="H3" s="3">
        <v>6</v>
      </c>
      <c r="I3" s="3">
        <v>0</v>
      </c>
      <c r="J3" s="3">
        <v>4</v>
      </c>
      <c r="K3" s="3">
        <v>2.5</v>
      </c>
      <c r="N3" s="3">
        <v>15</v>
      </c>
      <c r="O3" s="3">
        <v>180</v>
      </c>
      <c r="R3" s="3">
        <v>0.36</v>
      </c>
      <c r="V3" s="15">
        <v>1.5</v>
      </c>
      <c r="AB3" s="3">
        <f>D3*V3*4</f>
        <v>12</v>
      </c>
      <c r="AC3" s="3" t="s">
        <v>33</v>
      </c>
    </row>
    <row r="4" spans="1:29" s="3" customFormat="1" x14ac:dyDescent="0.25">
      <c r="A4" s="3" t="s">
        <v>2</v>
      </c>
      <c r="B4" s="4" t="s">
        <v>35</v>
      </c>
      <c r="C4" s="3">
        <v>12</v>
      </c>
      <c r="D4" s="3">
        <v>1</v>
      </c>
      <c r="E4" s="3" t="s">
        <v>36</v>
      </c>
      <c r="F4" s="3">
        <v>50</v>
      </c>
      <c r="G4" s="3">
        <v>70</v>
      </c>
      <c r="H4" s="3">
        <v>5</v>
      </c>
      <c r="I4" s="3">
        <v>0</v>
      </c>
      <c r="J4" s="3">
        <v>6</v>
      </c>
      <c r="K4" s="3">
        <v>1.5</v>
      </c>
      <c r="N4" s="3">
        <v>185</v>
      </c>
      <c r="O4" s="3">
        <v>70</v>
      </c>
      <c r="P4" s="3">
        <v>1</v>
      </c>
      <c r="Q4" s="3">
        <v>30</v>
      </c>
      <c r="R4" s="3">
        <v>0.9</v>
      </c>
      <c r="V4" s="15">
        <v>2</v>
      </c>
      <c r="AB4" s="3">
        <f>V4*4</f>
        <v>8</v>
      </c>
      <c r="AC4" s="3" t="s">
        <v>96</v>
      </c>
    </row>
    <row r="5" spans="1:29" s="3" customFormat="1" ht="45" x14ac:dyDescent="0.25">
      <c r="A5" s="3" t="s">
        <v>2</v>
      </c>
      <c r="B5" s="4" t="s">
        <v>23</v>
      </c>
      <c r="C5" s="3">
        <v>4</v>
      </c>
      <c r="D5" s="3">
        <v>3</v>
      </c>
      <c r="E5" s="3" t="s">
        <v>22</v>
      </c>
      <c r="F5" s="3">
        <v>85</v>
      </c>
      <c r="G5" s="3">
        <v>45</v>
      </c>
      <c r="H5" s="3">
        <v>0</v>
      </c>
      <c r="I5" s="3">
        <v>0</v>
      </c>
      <c r="J5" s="3">
        <v>11</v>
      </c>
      <c r="N5" s="3">
        <v>120</v>
      </c>
      <c r="O5" s="3">
        <v>400</v>
      </c>
      <c r="V5" s="15">
        <v>3</v>
      </c>
      <c r="X5" s="3">
        <f>V5*D5</f>
        <v>9</v>
      </c>
      <c r="Y5" s="19">
        <f>0.0625*X5</f>
        <v>0.5625</v>
      </c>
      <c r="AB5" s="3">
        <f>(V5/C5)*4</f>
        <v>3</v>
      </c>
      <c r="AC5" s="3" t="s">
        <v>95</v>
      </c>
    </row>
    <row r="6" spans="1:29" s="3" customFormat="1" x14ac:dyDescent="0.25">
      <c r="A6" s="3" t="s">
        <v>2</v>
      </c>
      <c r="B6" s="4" t="s">
        <v>34</v>
      </c>
      <c r="C6" s="3">
        <v>1</v>
      </c>
      <c r="D6" s="3">
        <v>4</v>
      </c>
      <c r="E6" s="3" t="s">
        <v>22</v>
      </c>
      <c r="F6" s="3">
        <v>112</v>
      </c>
      <c r="G6" s="3">
        <v>151</v>
      </c>
      <c r="H6" s="3">
        <v>7</v>
      </c>
      <c r="I6" s="3">
        <v>0</v>
      </c>
      <c r="J6" s="3">
        <v>22</v>
      </c>
      <c r="R6" s="3">
        <v>1.44</v>
      </c>
      <c r="V6" s="15">
        <v>3</v>
      </c>
      <c r="X6" s="3">
        <f>V6*D6</f>
        <v>12</v>
      </c>
      <c r="Y6" s="19">
        <f>0.0625*X6</f>
        <v>0.75</v>
      </c>
      <c r="AB6" s="3">
        <f>Y6*4</f>
        <v>3</v>
      </c>
      <c r="AC6" s="3" t="s">
        <v>94</v>
      </c>
    </row>
    <row r="7" spans="1:29" s="3" customFormat="1" ht="45" x14ac:dyDescent="0.25">
      <c r="A7" s="3" t="s">
        <v>77</v>
      </c>
      <c r="B7" s="4" t="s">
        <v>76</v>
      </c>
      <c r="C7" s="3">
        <v>10</v>
      </c>
      <c r="D7" s="3">
        <v>0.25</v>
      </c>
      <c r="E7" s="3" t="s">
        <v>38</v>
      </c>
      <c r="F7" s="3">
        <v>45</v>
      </c>
      <c r="G7" s="3">
        <v>170</v>
      </c>
      <c r="H7" s="3">
        <v>1.5</v>
      </c>
      <c r="I7" s="3">
        <v>34</v>
      </c>
      <c r="J7" s="3">
        <v>3</v>
      </c>
      <c r="R7" s="3">
        <v>1</v>
      </c>
      <c r="S7" s="3">
        <v>115</v>
      </c>
      <c r="T7" s="3">
        <v>2</v>
      </c>
      <c r="V7" s="15">
        <v>2.769117647058823</v>
      </c>
      <c r="Z7" s="9">
        <f>F7*V7</f>
        <v>124.61029411764703</v>
      </c>
      <c r="AA7" s="21">
        <f>V7*D7</f>
        <v>0.69227941176470575</v>
      </c>
      <c r="AB7" s="20">
        <f>(V7*4)/C7</f>
        <v>1.1076470588235292</v>
      </c>
      <c r="AC7" s="3" t="s">
        <v>95</v>
      </c>
    </row>
    <row r="8" spans="1:29" s="3" customFormat="1" x14ac:dyDescent="0.25">
      <c r="AA8" s="3" t="s">
        <v>92</v>
      </c>
    </row>
    <row r="9" spans="1:29" s="3" customFormat="1" x14ac:dyDescent="0.25"/>
    <row r="10" spans="1:29" s="3" customFormat="1" x14ac:dyDescent="0.25"/>
    <row r="11" spans="1:29" s="3" customFormat="1" x14ac:dyDescent="0.25">
      <c r="A11" s="3" t="str">
        <f>A2</f>
        <v>Harris Teeter</v>
      </c>
      <c r="B11" s="3" t="str">
        <f>B2</f>
        <v>Peanut Butter</v>
      </c>
      <c r="C11" s="3">
        <f>C2*$V2</f>
        <v>54.6875</v>
      </c>
      <c r="D11" s="3">
        <f>D2*$V2</f>
        <v>3.125</v>
      </c>
      <c r="E11" s="3" t="str">
        <f>E2</f>
        <v>Tbsp</v>
      </c>
      <c r="F11" s="3">
        <f>F2*$V2</f>
        <v>50</v>
      </c>
      <c r="G11" s="3">
        <f>G2*$V2</f>
        <v>281.25</v>
      </c>
      <c r="H11" s="3">
        <f>H2*$V2</f>
        <v>23.4375</v>
      </c>
      <c r="I11" s="3">
        <f>I2*$V2</f>
        <v>10.9375</v>
      </c>
      <c r="J11" s="3">
        <f>J2*$V2</f>
        <v>10.9375</v>
      </c>
      <c r="K11" s="3">
        <f>K2*$V2</f>
        <v>3.90625</v>
      </c>
      <c r="L11" s="3">
        <f>L2*$V2</f>
        <v>0</v>
      </c>
      <c r="M11" s="3">
        <f>M2*$V2</f>
        <v>0</v>
      </c>
      <c r="N11" s="3">
        <f>N2*$V2</f>
        <v>0</v>
      </c>
      <c r="O11" s="3">
        <f>O2*$V2</f>
        <v>234.375</v>
      </c>
      <c r="P11" s="3">
        <f>P2*$V2</f>
        <v>0</v>
      </c>
      <c r="Q11" s="3">
        <f>Q2*$V2</f>
        <v>46.875</v>
      </c>
      <c r="R11" s="3">
        <f>R2*$V2</f>
        <v>1.5625</v>
      </c>
      <c r="S11" s="3">
        <f>S2*$V2</f>
        <v>328.125</v>
      </c>
      <c r="T11" s="3">
        <f>T2*$V2</f>
        <v>3.125</v>
      </c>
      <c r="U11" s="3">
        <f>U2*$V2</f>
        <v>6.25</v>
      </c>
    </row>
    <row r="12" spans="1:29" s="3" customFormat="1" x14ac:dyDescent="0.25">
      <c r="A12" s="3" t="str">
        <f t="shared" ref="A12:B12" si="0">A3</f>
        <v>Harris Teeter</v>
      </c>
      <c r="B12" s="3" t="str">
        <f t="shared" si="0"/>
        <v>Lower Sodium Bacon</v>
      </c>
      <c r="C12" s="3">
        <f t="shared" ref="C12:D12" si="1">C3*$V3</f>
        <v>10.5</v>
      </c>
      <c r="D12" s="3">
        <f t="shared" si="1"/>
        <v>3</v>
      </c>
      <c r="E12" s="3" t="str">
        <f t="shared" ref="E12:E16" si="2">E3</f>
        <v>slices</v>
      </c>
      <c r="F12" s="3">
        <f t="shared" ref="F12:U12" si="3">F3*$V3</f>
        <v>22.5</v>
      </c>
      <c r="G12" s="3">
        <f t="shared" si="3"/>
        <v>120</v>
      </c>
      <c r="H12" s="3">
        <f t="shared" si="3"/>
        <v>9</v>
      </c>
      <c r="I12" s="3">
        <f t="shared" si="3"/>
        <v>0</v>
      </c>
      <c r="J12" s="3">
        <f t="shared" si="3"/>
        <v>6</v>
      </c>
      <c r="K12" s="3">
        <f t="shared" si="3"/>
        <v>3.75</v>
      </c>
      <c r="L12" s="3">
        <f t="shared" si="3"/>
        <v>0</v>
      </c>
      <c r="M12" s="3">
        <f t="shared" si="3"/>
        <v>0</v>
      </c>
      <c r="N12" s="3">
        <f t="shared" si="3"/>
        <v>22.5</v>
      </c>
      <c r="O12" s="3">
        <f t="shared" si="3"/>
        <v>270</v>
      </c>
      <c r="P12" s="3">
        <f t="shared" si="3"/>
        <v>0</v>
      </c>
      <c r="Q12" s="3">
        <f t="shared" si="3"/>
        <v>0</v>
      </c>
      <c r="R12" s="3">
        <f t="shared" si="3"/>
        <v>0.54</v>
      </c>
      <c r="S12" s="3">
        <f t="shared" si="3"/>
        <v>0</v>
      </c>
      <c r="T12" s="3">
        <f t="shared" si="3"/>
        <v>0</v>
      </c>
      <c r="U12" s="3">
        <f t="shared" si="3"/>
        <v>0</v>
      </c>
    </row>
    <row r="13" spans="1:29" s="3" customFormat="1" x14ac:dyDescent="0.25">
      <c r="A13" s="3" t="str">
        <f t="shared" ref="A13:B13" si="4">A4</f>
        <v>Harris Teeter</v>
      </c>
      <c r="B13" s="3" t="str">
        <f t="shared" si="4"/>
        <v>Grade A Large Egg</v>
      </c>
      <c r="C13" s="3">
        <f t="shared" ref="C13:D13" si="5">C4*$V4</f>
        <v>24</v>
      </c>
      <c r="D13" s="3">
        <f t="shared" si="5"/>
        <v>2</v>
      </c>
      <c r="E13" s="3" t="str">
        <f t="shared" si="2"/>
        <v>egg</v>
      </c>
      <c r="F13" s="3">
        <f t="shared" ref="F13:U13" si="6">F4*$V4</f>
        <v>100</v>
      </c>
      <c r="G13" s="3">
        <f t="shared" si="6"/>
        <v>140</v>
      </c>
      <c r="H13" s="3">
        <f t="shared" si="6"/>
        <v>10</v>
      </c>
      <c r="I13" s="3">
        <f t="shared" si="6"/>
        <v>0</v>
      </c>
      <c r="J13" s="3">
        <f t="shared" si="6"/>
        <v>12</v>
      </c>
      <c r="K13" s="3">
        <f t="shared" si="6"/>
        <v>3</v>
      </c>
      <c r="L13" s="3">
        <f t="shared" si="6"/>
        <v>0</v>
      </c>
      <c r="M13" s="3">
        <f t="shared" si="6"/>
        <v>0</v>
      </c>
      <c r="N13" s="3">
        <f t="shared" si="6"/>
        <v>370</v>
      </c>
      <c r="O13" s="3">
        <f t="shared" si="6"/>
        <v>140</v>
      </c>
      <c r="P13" s="3">
        <f t="shared" si="6"/>
        <v>2</v>
      </c>
      <c r="Q13" s="3">
        <f t="shared" si="6"/>
        <v>60</v>
      </c>
      <c r="R13" s="3">
        <f t="shared" si="6"/>
        <v>1.8</v>
      </c>
      <c r="S13" s="3">
        <f t="shared" si="6"/>
        <v>0</v>
      </c>
      <c r="T13" s="3">
        <f t="shared" si="6"/>
        <v>0</v>
      </c>
      <c r="U13" s="3">
        <f t="shared" si="6"/>
        <v>0</v>
      </c>
    </row>
    <row r="14" spans="1:29" s="3" customFormat="1" x14ac:dyDescent="0.25">
      <c r="A14" s="3" t="str">
        <f t="shared" ref="A14:B14" si="7">A5</f>
        <v>Harris Teeter</v>
      </c>
      <c r="B14" s="3" t="str">
        <f t="shared" si="7"/>
        <v>Fishermans Market Tail On Peeled &amp; Deveined Cooked Shrimp</v>
      </c>
      <c r="C14" s="3">
        <f t="shared" ref="C14:D14" si="8">C5*$V5</f>
        <v>12</v>
      </c>
      <c r="D14" s="3">
        <f t="shared" si="8"/>
        <v>9</v>
      </c>
      <c r="E14" s="3" t="str">
        <f t="shared" si="2"/>
        <v>ounces</v>
      </c>
      <c r="F14" s="3">
        <f t="shared" ref="F14:U14" si="9">F5*$V5</f>
        <v>255</v>
      </c>
      <c r="G14" s="3">
        <f t="shared" si="9"/>
        <v>135</v>
      </c>
      <c r="H14" s="3">
        <f t="shared" si="9"/>
        <v>0</v>
      </c>
      <c r="I14" s="3">
        <f t="shared" si="9"/>
        <v>0</v>
      </c>
      <c r="J14" s="3">
        <f t="shared" si="9"/>
        <v>33</v>
      </c>
      <c r="K14" s="3">
        <f t="shared" si="9"/>
        <v>0</v>
      </c>
      <c r="L14" s="3">
        <f t="shared" si="9"/>
        <v>0</v>
      </c>
      <c r="M14" s="3">
        <f t="shared" si="9"/>
        <v>0</v>
      </c>
      <c r="N14" s="3">
        <f t="shared" si="9"/>
        <v>360</v>
      </c>
      <c r="O14" s="3">
        <f t="shared" si="9"/>
        <v>1200</v>
      </c>
      <c r="P14" s="3">
        <f t="shared" si="9"/>
        <v>0</v>
      </c>
      <c r="Q14" s="3">
        <f t="shared" si="9"/>
        <v>0</v>
      </c>
      <c r="R14" s="3">
        <f t="shared" si="9"/>
        <v>0</v>
      </c>
      <c r="S14" s="3">
        <f t="shared" si="9"/>
        <v>0</v>
      </c>
      <c r="T14" s="3">
        <f t="shared" si="9"/>
        <v>0</v>
      </c>
      <c r="U14" s="3">
        <f t="shared" si="9"/>
        <v>0</v>
      </c>
    </row>
    <row r="15" spans="1:29" x14ac:dyDescent="0.25">
      <c r="A15" s="3" t="str">
        <f t="shared" ref="A15:B15" si="10">A6</f>
        <v>Harris Teeter</v>
      </c>
      <c r="B15" s="3" t="str">
        <f t="shared" si="10"/>
        <v>Eye Round Steak</v>
      </c>
      <c r="C15" s="3">
        <f t="shared" ref="C15:D15" si="11">C6*$V6</f>
        <v>3</v>
      </c>
      <c r="D15" s="3">
        <f t="shared" si="11"/>
        <v>12</v>
      </c>
      <c r="E15" s="3" t="str">
        <f t="shared" si="2"/>
        <v>ounces</v>
      </c>
      <c r="F15" s="3">
        <f t="shared" ref="F15:U15" si="12">F6*$V6</f>
        <v>336</v>
      </c>
      <c r="G15" s="3">
        <f t="shared" si="12"/>
        <v>453</v>
      </c>
      <c r="H15" s="3">
        <f t="shared" si="12"/>
        <v>21</v>
      </c>
      <c r="I15" s="3">
        <f t="shared" si="12"/>
        <v>0</v>
      </c>
      <c r="J15" s="3">
        <f t="shared" si="12"/>
        <v>66</v>
      </c>
      <c r="K15" s="3">
        <f t="shared" si="12"/>
        <v>0</v>
      </c>
      <c r="L15" s="3">
        <f t="shared" si="12"/>
        <v>0</v>
      </c>
      <c r="M15" s="3">
        <f t="shared" si="12"/>
        <v>0</v>
      </c>
      <c r="N15" s="3">
        <f t="shared" si="12"/>
        <v>0</v>
      </c>
      <c r="O15" s="3">
        <f t="shared" si="12"/>
        <v>0</v>
      </c>
      <c r="P15" s="3">
        <f t="shared" si="12"/>
        <v>0</v>
      </c>
      <c r="Q15" s="3">
        <f t="shared" si="12"/>
        <v>0</v>
      </c>
      <c r="R15" s="3">
        <f t="shared" si="12"/>
        <v>4.32</v>
      </c>
      <c r="S15" s="3">
        <f t="shared" si="12"/>
        <v>0</v>
      </c>
      <c r="T15" s="3">
        <f t="shared" si="12"/>
        <v>0</v>
      </c>
      <c r="U15" s="3">
        <f t="shared" si="12"/>
        <v>0</v>
      </c>
    </row>
    <row r="16" spans="1:29" x14ac:dyDescent="0.25">
      <c r="A16" s="3" t="str">
        <f t="shared" ref="A16:B16" si="13">A7</f>
        <v>Mahatma</v>
      </c>
      <c r="B16" s="3" t="str">
        <f t="shared" si="13"/>
        <v>Brown Rice, Whole Grain Rice, Uncooked Rice</v>
      </c>
      <c r="C16" s="3">
        <f t="shared" ref="C16:D16" si="14">C7*$V7</f>
        <v>27.691176470588232</v>
      </c>
      <c r="D16" s="3">
        <f t="shared" si="14"/>
        <v>0.69227941176470575</v>
      </c>
      <c r="E16" s="3" t="str">
        <f t="shared" si="2"/>
        <v>cup</v>
      </c>
      <c r="F16" s="3">
        <f t="shared" ref="F16:U16" si="15">F7*$V7</f>
        <v>124.61029411764703</v>
      </c>
      <c r="G16" s="3">
        <f t="shared" si="15"/>
        <v>470.74999999999989</v>
      </c>
      <c r="H16" s="3">
        <f t="shared" si="15"/>
        <v>4.1536764705882341</v>
      </c>
      <c r="I16" s="3">
        <f t="shared" si="15"/>
        <v>94.149999999999977</v>
      </c>
      <c r="J16" s="3">
        <f t="shared" si="15"/>
        <v>8.3073529411764682</v>
      </c>
      <c r="K16" s="3">
        <f t="shared" si="15"/>
        <v>0</v>
      </c>
      <c r="L16" s="3">
        <f t="shared" si="15"/>
        <v>0</v>
      </c>
      <c r="M16" s="3">
        <f t="shared" si="15"/>
        <v>0</v>
      </c>
      <c r="N16" s="3">
        <f t="shared" si="15"/>
        <v>0</v>
      </c>
      <c r="O16" s="3">
        <f t="shared" si="15"/>
        <v>0</v>
      </c>
      <c r="P16" s="3">
        <f t="shared" si="15"/>
        <v>0</v>
      </c>
      <c r="Q16" s="3">
        <f t="shared" si="15"/>
        <v>0</v>
      </c>
      <c r="R16" s="3">
        <f t="shared" si="15"/>
        <v>2.769117647058823</v>
      </c>
      <c r="S16" s="3">
        <f t="shared" si="15"/>
        <v>318.44852941176464</v>
      </c>
      <c r="T16" s="3">
        <f t="shared" si="15"/>
        <v>5.538235294117646</v>
      </c>
      <c r="U16" s="3">
        <f t="shared" si="15"/>
        <v>0</v>
      </c>
    </row>
    <row r="17" spans="1:26" x14ac:dyDescent="0.25">
      <c r="A17" s="3"/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6" x14ac:dyDescent="0.25">
      <c r="G18" s="12">
        <f>SUM(G11:G16)</f>
        <v>1600</v>
      </c>
      <c r="J18">
        <f>SUM(J11:J16)</f>
        <v>136.24485294117648</v>
      </c>
      <c r="L18" s="3" t="s">
        <v>85</v>
      </c>
      <c r="M18" t="s">
        <v>86</v>
      </c>
      <c r="N18" t="s">
        <v>87</v>
      </c>
      <c r="O18" t="s">
        <v>48</v>
      </c>
      <c r="Q18" t="s">
        <v>91</v>
      </c>
    </row>
    <row r="19" spans="1:26" x14ac:dyDescent="0.25">
      <c r="L19">
        <f>MAX(O19*0.7,(0.25*G20)/4)</f>
        <v>118.99999999999999</v>
      </c>
      <c r="M19">
        <f>MIN(O19,(0.35*G20)/4)</f>
        <v>140</v>
      </c>
      <c r="N19">
        <f>J18</f>
        <v>136.24485294117648</v>
      </c>
      <c r="O19">
        <v>170</v>
      </c>
      <c r="Q19">
        <f>J18/0.7</f>
        <v>194.6355042016807</v>
      </c>
    </row>
    <row r="20" spans="1:26" x14ac:dyDescent="0.25">
      <c r="F20" t="s">
        <v>81</v>
      </c>
      <c r="G20">
        <v>1600</v>
      </c>
      <c r="J20">
        <v>168</v>
      </c>
    </row>
    <row r="21" spans="1:26" x14ac:dyDescent="0.25">
      <c r="L21" t="s">
        <v>83</v>
      </c>
      <c r="M21" t="s">
        <v>84</v>
      </c>
      <c r="N21" t="s">
        <v>82</v>
      </c>
    </row>
    <row r="22" spans="1:26" x14ac:dyDescent="0.25">
      <c r="L22" s="18">
        <v>0.25</v>
      </c>
      <c r="M22" s="18">
        <v>0.45</v>
      </c>
      <c r="N22" s="17">
        <f>I25</f>
        <v>0.26271874999999995</v>
      </c>
      <c r="V22" s="3"/>
      <c r="W22" s="3"/>
      <c r="X22" s="3"/>
      <c r="Y22" s="3"/>
      <c r="Z22" s="3"/>
    </row>
    <row r="23" spans="1:26" x14ac:dyDescent="0.25">
      <c r="H23">
        <f>SUM(H11:H16)</f>
        <v>67.591176470588238</v>
      </c>
      <c r="I23">
        <f t="shared" ref="I23:J23" si="16">SUM(I11:I16)</f>
        <v>105.08749999999998</v>
      </c>
      <c r="J23">
        <f t="shared" si="16"/>
        <v>136.24485294117648</v>
      </c>
    </row>
    <row r="24" spans="1:26" x14ac:dyDescent="0.25">
      <c r="H24">
        <f>H23*9</f>
        <v>608.32058823529417</v>
      </c>
      <c r="I24">
        <f t="shared" ref="I24:J24" si="17">I23*4</f>
        <v>420.34999999999991</v>
      </c>
      <c r="J24">
        <f t="shared" si="17"/>
        <v>544.9794117647059</v>
      </c>
      <c r="M24" t="s">
        <v>89</v>
      </c>
      <c r="N24" t="s">
        <v>90</v>
      </c>
    </row>
    <row r="25" spans="1:26" x14ac:dyDescent="0.25">
      <c r="F25">
        <f>SUM(F11:F16)</f>
        <v>888.11029411764707</v>
      </c>
      <c r="H25" s="16">
        <f>H24/$G$20</f>
        <v>0.38020036764705883</v>
      </c>
      <c r="I25" s="16">
        <f t="shared" ref="I25:J25" si="18">I24/$G$20</f>
        <v>0.26271874999999995</v>
      </c>
      <c r="J25" s="16">
        <f t="shared" si="18"/>
        <v>0.34061213235294119</v>
      </c>
      <c r="M25" s="17">
        <v>0.35</v>
      </c>
      <c r="N25" s="17">
        <f>H25</f>
        <v>0.38020036764705883</v>
      </c>
    </row>
  </sheetData>
  <conditionalFormatting sqref="N25">
    <cfRule type="cellIs" dxfId="11" priority="4" operator="lessThan">
      <formula>$M$25</formula>
    </cfRule>
  </conditionalFormatting>
  <conditionalFormatting sqref="N22">
    <cfRule type="cellIs" dxfId="10" priority="3" operator="between">
      <formula>$L$22</formula>
      <formula>$M$22</formula>
    </cfRule>
  </conditionalFormatting>
  <conditionalFormatting sqref="N19">
    <cfRule type="cellIs" dxfId="9" priority="2" operator="greaterThan">
      <formula>$L$19</formula>
    </cfRule>
  </conditionalFormatting>
  <conditionalFormatting sqref="G18">
    <cfRule type="cellIs" dxfId="8" priority="1" operator="lessThanOrEqual">
      <formula>$G$20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9A857-5322-4611-B94B-6EC99BAFCFF2}">
  <dimension ref="A1:AF26"/>
  <sheetViews>
    <sheetView topLeftCell="C1" workbookViewId="0">
      <selection activeCell="V2" sqref="V2"/>
    </sheetView>
  </sheetViews>
  <sheetFormatPr defaultRowHeight="15" x14ac:dyDescent="0.25"/>
  <cols>
    <col min="1" max="1" width="12.42578125" bestFit="1" customWidth="1"/>
    <col min="2" max="2" width="23.140625" style="1" bestFit="1" customWidth="1"/>
    <col min="3" max="3" width="11.85546875" bestFit="1" customWidth="1"/>
    <col min="6" max="6" width="7.5703125" bestFit="1" customWidth="1"/>
    <col min="7" max="7" width="9.5703125" bestFit="1" customWidth="1"/>
    <col min="8" max="9" width="6.5703125" bestFit="1" customWidth="1"/>
    <col min="10" max="10" width="7.5703125" bestFit="1" customWidth="1"/>
    <col min="11" max="11" width="9.7109375" bestFit="1" customWidth="1"/>
    <col min="12" max="12" width="13.42578125" bestFit="1" customWidth="1"/>
    <col min="13" max="13" width="15" customWidth="1"/>
    <col min="14" max="14" width="11.28515625" customWidth="1"/>
    <col min="15" max="15" width="7.7109375" bestFit="1" customWidth="1"/>
    <col min="16" max="17" width="8" bestFit="1" customWidth="1"/>
    <col min="18" max="18" width="4.5703125" bestFit="1" customWidth="1"/>
    <col min="19" max="19" width="10.140625" bestFit="1" customWidth="1"/>
    <col min="20" max="20" width="7.42578125" bestFit="1" customWidth="1"/>
    <col min="21" max="21" width="6.7109375" bestFit="1" customWidth="1"/>
    <col min="22" max="23" width="8" bestFit="1" customWidth="1"/>
    <col min="24" max="24" width="5.140625" bestFit="1" customWidth="1"/>
    <col min="25" max="25" width="4.5703125" bestFit="1" customWidth="1"/>
    <col min="26" max="26" width="8.5703125" bestFit="1" customWidth="1"/>
    <col min="28" max="28" width="5.5703125" bestFit="1" customWidth="1"/>
    <col min="32" max="32" width="10.5703125" bestFit="1" customWidth="1"/>
  </cols>
  <sheetData>
    <row r="1" spans="1:32" s="4" customFormat="1" ht="45" x14ac:dyDescent="0.25">
      <c r="A1" s="4" t="s">
        <v>0</v>
      </c>
      <c r="B1" s="4" t="s">
        <v>1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17</v>
      </c>
      <c r="Q1" s="4" t="s">
        <v>18</v>
      </c>
      <c r="R1" s="4" t="s">
        <v>19</v>
      </c>
      <c r="S1" s="4" t="s">
        <v>20</v>
      </c>
      <c r="T1" s="4" t="s">
        <v>26</v>
      </c>
      <c r="U1" s="4" t="s">
        <v>27</v>
      </c>
      <c r="V1" s="4" t="s">
        <v>78</v>
      </c>
      <c r="X1" s="3"/>
      <c r="Y1" s="3"/>
      <c r="Z1" s="4" t="s">
        <v>101</v>
      </c>
      <c r="AA1" s="4" t="s">
        <v>102</v>
      </c>
      <c r="AB1" s="4" t="s">
        <v>93</v>
      </c>
      <c r="AF1" s="22"/>
    </row>
    <row r="2" spans="1:32" s="3" customFormat="1" x14ac:dyDescent="0.25">
      <c r="A2" s="3" t="s">
        <v>2</v>
      </c>
      <c r="B2" s="4" t="s">
        <v>30</v>
      </c>
      <c r="C2" s="3">
        <v>35</v>
      </c>
      <c r="D2" s="3">
        <v>2</v>
      </c>
      <c r="E2" s="3" t="s">
        <v>31</v>
      </c>
      <c r="F2" s="3">
        <v>32</v>
      </c>
      <c r="G2" s="3">
        <v>180</v>
      </c>
      <c r="H2" s="3">
        <v>15</v>
      </c>
      <c r="I2" s="3">
        <v>7</v>
      </c>
      <c r="J2" s="3">
        <v>7</v>
      </c>
      <c r="K2" s="3">
        <v>2.5</v>
      </c>
      <c r="O2" s="3">
        <v>150</v>
      </c>
      <c r="Q2" s="3">
        <v>30</v>
      </c>
      <c r="R2" s="3">
        <v>1</v>
      </c>
      <c r="S2" s="3">
        <v>210</v>
      </c>
      <c r="T2" s="3">
        <v>2</v>
      </c>
      <c r="U2" s="3">
        <v>4</v>
      </c>
      <c r="V2" s="15">
        <v>2.34375</v>
      </c>
      <c r="Z2" s="9">
        <f>F11</f>
        <v>75</v>
      </c>
      <c r="AA2" s="3">
        <f>Z2*4</f>
        <v>300</v>
      </c>
      <c r="AB2" s="20">
        <f>D2/F2*Z2*4</f>
        <v>18.75</v>
      </c>
      <c r="AC2" s="3" t="str">
        <f>E2</f>
        <v>Tbsp</v>
      </c>
      <c r="AF2" s="22"/>
    </row>
    <row r="3" spans="1:32" s="3" customFormat="1" x14ac:dyDescent="0.25">
      <c r="A3" s="3" t="s">
        <v>2</v>
      </c>
      <c r="B3" s="4" t="s">
        <v>32</v>
      </c>
      <c r="C3" s="3">
        <v>7</v>
      </c>
      <c r="D3" s="3">
        <v>2</v>
      </c>
      <c r="E3" s="3" t="s">
        <v>33</v>
      </c>
      <c r="F3" s="3">
        <v>15</v>
      </c>
      <c r="G3" s="3">
        <v>80</v>
      </c>
      <c r="H3" s="3">
        <v>6</v>
      </c>
      <c r="I3" s="3">
        <v>0</v>
      </c>
      <c r="J3" s="3">
        <v>4</v>
      </c>
      <c r="K3" s="3">
        <v>2.5</v>
      </c>
      <c r="N3" s="3">
        <v>15</v>
      </c>
      <c r="O3" s="3">
        <v>180</v>
      </c>
      <c r="R3" s="3">
        <v>0.36</v>
      </c>
      <c r="V3" s="15">
        <v>1.5</v>
      </c>
      <c r="Z3" s="9">
        <f t="shared" ref="Z3:Z8" si="0">F12</f>
        <v>22.5</v>
      </c>
      <c r="AA3" s="3">
        <f t="shared" ref="AA3:AA8" si="1">Z3*4</f>
        <v>90</v>
      </c>
      <c r="AB3" s="20">
        <f t="shared" ref="AB3:AB8" si="2">D3/F3*Z3*4</f>
        <v>12</v>
      </c>
      <c r="AC3" s="3" t="str">
        <f t="shared" ref="AC3:AC8" si="3">E3</f>
        <v>slices</v>
      </c>
      <c r="AF3" s="22"/>
    </row>
    <row r="4" spans="1:32" s="3" customFormat="1" x14ac:dyDescent="0.25">
      <c r="A4" s="3" t="s">
        <v>2</v>
      </c>
      <c r="B4" s="4" t="s">
        <v>35</v>
      </c>
      <c r="C4" s="3">
        <v>12</v>
      </c>
      <c r="D4" s="3">
        <v>1</v>
      </c>
      <c r="E4" s="3" t="s">
        <v>36</v>
      </c>
      <c r="F4" s="3">
        <v>50</v>
      </c>
      <c r="G4" s="3">
        <v>70</v>
      </c>
      <c r="H4" s="3">
        <v>5</v>
      </c>
      <c r="I4" s="3">
        <v>0</v>
      </c>
      <c r="J4" s="3">
        <v>6</v>
      </c>
      <c r="K4" s="3">
        <v>1.5</v>
      </c>
      <c r="N4" s="3">
        <v>185</v>
      </c>
      <c r="O4" s="3">
        <v>70</v>
      </c>
      <c r="P4" s="3">
        <v>1</v>
      </c>
      <c r="Q4" s="3">
        <v>30</v>
      </c>
      <c r="R4" s="3">
        <v>0.9</v>
      </c>
      <c r="V4" s="15">
        <v>1</v>
      </c>
      <c r="Z4" s="9">
        <f t="shared" si="0"/>
        <v>50</v>
      </c>
      <c r="AA4" s="3">
        <f t="shared" si="1"/>
        <v>200</v>
      </c>
      <c r="AB4" s="20">
        <f t="shared" si="2"/>
        <v>4</v>
      </c>
      <c r="AC4" s="3" t="str">
        <f t="shared" si="3"/>
        <v>egg</v>
      </c>
      <c r="AF4" s="22"/>
    </row>
    <row r="5" spans="1:32" s="3" customFormat="1" ht="45" x14ac:dyDescent="0.25">
      <c r="A5" s="3" t="s">
        <v>2</v>
      </c>
      <c r="B5" s="4" t="s">
        <v>23</v>
      </c>
      <c r="C5" s="3">
        <v>4</v>
      </c>
      <c r="D5" s="3">
        <v>3</v>
      </c>
      <c r="E5" s="3" t="s">
        <v>22</v>
      </c>
      <c r="F5" s="3">
        <v>85</v>
      </c>
      <c r="G5" s="3">
        <v>45</v>
      </c>
      <c r="H5" s="3">
        <v>0</v>
      </c>
      <c r="I5" s="3">
        <v>0</v>
      </c>
      <c r="J5" s="3">
        <v>11</v>
      </c>
      <c r="N5" s="3">
        <v>120</v>
      </c>
      <c r="O5" s="3">
        <v>400</v>
      </c>
      <c r="V5" s="15">
        <v>4</v>
      </c>
      <c r="Y5" s="19"/>
      <c r="Z5" s="9">
        <f t="shared" si="0"/>
        <v>340</v>
      </c>
      <c r="AA5" s="3">
        <f t="shared" si="1"/>
        <v>1360</v>
      </c>
      <c r="AB5" s="20">
        <f t="shared" si="2"/>
        <v>48</v>
      </c>
      <c r="AC5" s="3" t="str">
        <f t="shared" si="3"/>
        <v>ounces</v>
      </c>
      <c r="AD5" s="23">
        <f>0.0625*AB5</f>
        <v>3</v>
      </c>
      <c r="AF5" s="22"/>
    </row>
    <row r="6" spans="1:32" s="3" customFormat="1" x14ac:dyDescent="0.25">
      <c r="A6" s="3" t="s">
        <v>2</v>
      </c>
      <c r="B6" s="4" t="s">
        <v>34</v>
      </c>
      <c r="C6" s="3">
        <v>1</v>
      </c>
      <c r="D6" s="3">
        <v>4</v>
      </c>
      <c r="E6" s="3" t="s">
        <v>22</v>
      </c>
      <c r="F6" s="3">
        <v>112</v>
      </c>
      <c r="G6" s="3">
        <v>151</v>
      </c>
      <c r="H6" s="3">
        <v>7</v>
      </c>
      <c r="I6" s="3">
        <v>0</v>
      </c>
      <c r="J6" s="3">
        <v>22</v>
      </c>
      <c r="R6" s="3">
        <v>1.44</v>
      </c>
      <c r="V6" s="15">
        <v>1.339285714285714</v>
      </c>
      <c r="Y6" s="19"/>
      <c r="Z6" s="9">
        <f t="shared" si="0"/>
        <v>149.99999999999997</v>
      </c>
      <c r="AA6" s="3">
        <f t="shared" si="1"/>
        <v>599.99999999999989</v>
      </c>
      <c r="AB6" s="20">
        <f t="shared" si="2"/>
        <v>21.428571428571423</v>
      </c>
      <c r="AC6" s="3" t="str">
        <f t="shared" si="3"/>
        <v>ounces</v>
      </c>
      <c r="AD6" s="23">
        <f>0.0625*AB6</f>
        <v>1.339285714285714</v>
      </c>
      <c r="AF6" s="22"/>
    </row>
    <row r="7" spans="1:32" s="3" customFormat="1" ht="45" x14ac:dyDescent="0.25">
      <c r="A7" s="3" t="s">
        <v>77</v>
      </c>
      <c r="B7" s="4" t="s">
        <v>76</v>
      </c>
      <c r="C7" s="3">
        <v>10</v>
      </c>
      <c r="D7" s="3">
        <v>0.25</v>
      </c>
      <c r="E7" s="3" t="s">
        <v>38</v>
      </c>
      <c r="F7" s="3">
        <v>45</v>
      </c>
      <c r="G7" s="3">
        <v>170</v>
      </c>
      <c r="H7" s="3">
        <v>1.5</v>
      </c>
      <c r="I7" s="3">
        <v>34</v>
      </c>
      <c r="J7" s="3">
        <v>3</v>
      </c>
      <c r="R7" s="3">
        <v>1</v>
      </c>
      <c r="S7" s="3">
        <v>115</v>
      </c>
      <c r="T7" s="3">
        <v>2</v>
      </c>
      <c r="V7" s="15">
        <v>1.6666666666666665</v>
      </c>
      <c r="Z7" s="9">
        <f t="shared" si="0"/>
        <v>75</v>
      </c>
      <c r="AA7" s="3">
        <f t="shared" si="1"/>
        <v>300</v>
      </c>
      <c r="AB7" s="20">
        <f t="shared" si="2"/>
        <v>1.6666666666666667</v>
      </c>
      <c r="AC7" s="3" t="str">
        <f t="shared" si="3"/>
        <v>cup</v>
      </c>
      <c r="AF7" s="22"/>
    </row>
    <row r="8" spans="1:32" s="3" customFormat="1" x14ac:dyDescent="0.25">
      <c r="A8" s="3" t="s">
        <v>2</v>
      </c>
      <c r="B8" s="4" t="s">
        <v>98</v>
      </c>
      <c r="C8" s="3">
        <v>8</v>
      </c>
      <c r="D8" s="3">
        <v>1</v>
      </c>
      <c r="E8" s="3" t="s">
        <v>99</v>
      </c>
      <c r="F8" s="3">
        <v>28</v>
      </c>
      <c r="G8" s="3">
        <v>110</v>
      </c>
      <c r="H8" s="3">
        <v>9</v>
      </c>
      <c r="I8" s="3">
        <v>0</v>
      </c>
      <c r="J8" s="3">
        <v>7</v>
      </c>
      <c r="K8" s="3">
        <v>6</v>
      </c>
      <c r="M8" s="3">
        <v>90</v>
      </c>
      <c r="N8" s="3">
        <v>30</v>
      </c>
      <c r="O8" s="3">
        <v>180</v>
      </c>
      <c r="Q8" s="3">
        <v>195</v>
      </c>
      <c r="V8" s="15">
        <v>2.6785714285714288</v>
      </c>
      <c r="Z8" s="9">
        <f t="shared" si="0"/>
        <v>75</v>
      </c>
      <c r="AA8" s="3">
        <f t="shared" si="1"/>
        <v>300</v>
      </c>
      <c r="AB8" s="20">
        <f t="shared" si="2"/>
        <v>10.714285714285714</v>
      </c>
      <c r="AC8" s="3" t="str">
        <f t="shared" si="3"/>
        <v>inch cube</v>
      </c>
    </row>
    <row r="9" spans="1:32" s="3" customFormat="1" x14ac:dyDescent="0.25"/>
    <row r="10" spans="1:32" s="3" customFormat="1" x14ac:dyDescent="0.25"/>
    <row r="11" spans="1:32" s="3" customFormat="1" x14ac:dyDescent="0.25">
      <c r="A11" s="3" t="str">
        <f>A2</f>
        <v>Harris Teeter</v>
      </c>
      <c r="B11" s="3" t="str">
        <f>B2</f>
        <v>Peanut Butter</v>
      </c>
      <c r="C11" s="3">
        <f>C2*$V2</f>
        <v>82.03125</v>
      </c>
      <c r="D11" s="3">
        <f>D2*$V2</f>
        <v>4.6875</v>
      </c>
      <c r="E11" s="3" t="str">
        <f>E2</f>
        <v>Tbsp</v>
      </c>
      <c r="F11" s="3">
        <f>F2*$V2</f>
        <v>75</v>
      </c>
      <c r="G11" s="3">
        <f>G2*$V2</f>
        <v>421.875</v>
      </c>
      <c r="H11" s="3">
        <f>H2*$V2</f>
        <v>35.15625</v>
      </c>
      <c r="I11" s="3">
        <f>I2*$V2</f>
        <v>16.40625</v>
      </c>
      <c r="J11" s="3">
        <f>J2*$V2</f>
        <v>16.40625</v>
      </c>
      <c r="K11" s="3">
        <f>K2*$V2</f>
        <v>5.859375</v>
      </c>
      <c r="L11" s="3">
        <f>L2*$V2</f>
        <v>0</v>
      </c>
      <c r="M11" s="3">
        <f>M2*$V2</f>
        <v>0</v>
      </c>
      <c r="N11" s="3">
        <f>N2*$V2</f>
        <v>0</v>
      </c>
      <c r="O11" s="3">
        <f>O2*$V2</f>
        <v>351.5625</v>
      </c>
      <c r="P11" s="3">
        <f>P2*$V2</f>
        <v>0</v>
      </c>
      <c r="Q11" s="3">
        <f>Q2*$V2</f>
        <v>70.3125</v>
      </c>
      <c r="R11" s="3">
        <f>R2*$V2</f>
        <v>2.34375</v>
      </c>
      <c r="S11" s="3">
        <f>S2*$V2</f>
        <v>492.1875</v>
      </c>
      <c r="T11" s="3">
        <f>T2*$V2</f>
        <v>4.6875</v>
      </c>
      <c r="U11" s="3">
        <f>U2*$V2</f>
        <v>9.375</v>
      </c>
    </row>
    <row r="12" spans="1:32" s="3" customFormat="1" x14ac:dyDescent="0.25">
      <c r="A12" s="3" t="str">
        <f t="shared" ref="A12:B17" si="4">A3</f>
        <v>Harris Teeter</v>
      </c>
      <c r="B12" s="3" t="str">
        <f t="shared" si="4"/>
        <v>Lower Sodium Bacon</v>
      </c>
      <c r="C12" s="3">
        <f t="shared" ref="C12:D17" si="5">C3*$V3</f>
        <v>10.5</v>
      </c>
      <c r="D12" s="3">
        <f t="shared" si="5"/>
        <v>3</v>
      </c>
      <c r="E12" s="3" t="str">
        <f t="shared" ref="E12:E17" si="6">E3</f>
        <v>slices</v>
      </c>
      <c r="F12" s="3">
        <f t="shared" ref="F12:U17" si="7">F3*$V3</f>
        <v>22.5</v>
      </c>
      <c r="G12" s="3">
        <f t="shared" si="7"/>
        <v>120</v>
      </c>
      <c r="H12" s="3">
        <f t="shared" si="7"/>
        <v>9</v>
      </c>
      <c r="I12" s="3">
        <f t="shared" si="7"/>
        <v>0</v>
      </c>
      <c r="J12" s="3">
        <f t="shared" si="7"/>
        <v>6</v>
      </c>
      <c r="K12" s="3">
        <f t="shared" si="7"/>
        <v>3.75</v>
      </c>
      <c r="L12" s="3">
        <f t="shared" si="7"/>
        <v>0</v>
      </c>
      <c r="M12" s="3">
        <f t="shared" si="7"/>
        <v>0</v>
      </c>
      <c r="N12" s="3">
        <f t="shared" si="7"/>
        <v>22.5</v>
      </c>
      <c r="O12" s="3">
        <f t="shared" si="7"/>
        <v>270</v>
      </c>
      <c r="P12" s="3">
        <f t="shared" si="7"/>
        <v>0</v>
      </c>
      <c r="Q12" s="3">
        <f t="shared" si="7"/>
        <v>0</v>
      </c>
      <c r="R12" s="3">
        <f t="shared" si="7"/>
        <v>0.54</v>
      </c>
      <c r="S12" s="3">
        <f t="shared" si="7"/>
        <v>0</v>
      </c>
      <c r="T12" s="3">
        <f t="shared" si="7"/>
        <v>0</v>
      </c>
      <c r="U12" s="3">
        <f t="shared" si="7"/>
        <v>0</v>
      </c>
    </row>
    <row r="13" spans="1:32" s="3" customFormat="1" x14ac:dyDescent="0.25">
      <c r="A13" s="3" t="str">
        <f t="shared" si="4"/>
        <v>Harris Teeter</v>
      </c>
      <c r="B13" s="3" t="str">
        <f t="shared" si="4"/>
        <v>Grade A Large Egg</v>
      </c>
      <c r="C13" s="3">
        <f t="shared" si="5"/>
        <v>12</v>
      </c>
      <c r="D13" s="3">
        <f t="shared" si="5"/>
        <v>1</v>
      </c>
      <c r="E13" s="3" t="str">
        <f t="shared" si="6"/>
        <v>egg</v>
      </c>
      <c r="F13" s="3">
        <f t="shared" si="7"/>
        <v>50</v>
      </c>
      <c r="G13" s="3">
        <f t="shared" si="7"/>
        <v>70</v>
      </c>
      <c r="H13" s="3">
        <f t="shared" si="7"/>
        <v>5</v>
      </c>
      <c r="I13" s="3">
        <f t="shared" si="7"/>
        <v>0</v>
      </c>
      <c r="J13" s="3">
        <f t="shared" si="7"/>
        <v>6</v>
      </c>
      <c r="K13" s="3">
        <f t="shared" si="7"/>
        <v>1.5</v>
      </c>
      <c r="L13" s="3">
        <f t="shared" si="7"/>
        <v>0</v>
      </c>
      <c r="M13" s="3">
        <f t="shared" si="7"/>
        <v>0</v>
      </c>
      <c r="N13" s="3">
        <f t="shared" si="7"/>
        <v>185</v>
      </c>
      <c r="O13" s="3">
        <f t="shared" si="7"/>
        <v>70</v>
      </c>
      <c r="P13" s="3">
        <f t="shared" si="7"/>
        <v>1</v>
      </c>
      <c r="Q13" s="3">
        <f t="shared" si="7"/>
        <v>30</v>
      </c>
      <c r="R13" s="3">
        <f t="shared" si="7"/>
        <v>0.9</v>
      </c>
      <c r="S13" s="3">
        <f t="shared" si="7"/>
        <v>0</v>
      </c>
      <c r="T13" s="3">
        <f t="shared" si="7"/>
        <v>0</v>
      </c>
      <c r="U13" s="3">
        <f t="shared" si="7"/>
        <v>0</v>
      </c>
    </row>
    <row r="14" spans="1:32" s="3" customFormat="1" x14ac:dyDescent="0.25">
      <c r="A14" s="3" t="str">
        <f t="shared" si="4"/>
        <v>Harris Teeter</v>
      </c>
      <c r="B14" s="3" t="str">
        <f t="shared" si="4"/>
        <v>Fishermans Market Tail On Peeled &amp; Deveined Cooked Shrimp</v>
      </c>
      <c r="C14" s="3">
        <f t="shared" si="5"/>
        <v>16</v>
      </c>
      <c r="D14" s="3">
        <f t="shared" si="5"/>
        <v>12</v>
      </c>
      <c r="E14" s="3" t="str">
        <f t="shared" si="6"/>
        <v>ounces</v>
      </c>
      <c r="F14" s="3">
        <f t="shared" si="7"/>
        <v>340</v>
      </c>
      <c r="G14" s="3">
        <f t="shared" si="7"/>
        <v>180</v>
      </c>
      <c r="H14" s="3">
        <f t="shared" si="7"/>
        <v>0</v>
      </c>
      <c r="I14" s="3">
        <f t="shared" si="7"/>
        <v>0</v>
      </c>
      <c r="J14" s="3">
        <f t="shared" si="7"/>
        <v>44</v>
      </c>
      <c r="K14" s="3">
        <f t="shared" si="7"/>
        <v>0</v>
      </c>
      <c r="L14" s="3">
        <f t="shared" si="7"/>
        <v>0</v>
      </c>
      <c r="M14" s="3">
        <f t="shared" si="7"/>
        <v>0</v>
      </c>
      <c r="N14" s="3">
        <f t="shared" si="7"/>
        <v>480</v>
      </c>
      <c r="O14" s="3">
        <f t="shared" si="7"/>
        <v>1600</v>
      </c>
      <c r="P14" s="3">
        <f t="shared" si="7"/>
        <v>0</v>
      </c>
      <c r="Q14" s="3">
        <f t="shared" si="7"/>
        <v>0</v>
      </c>
      <c r="R14" s="3">
        <f t="shared" si="7"/>
        <v>0</v>
      </c>
      <c r="S14" s="3">
        <f t="shared" si="7"/>
        <v>0</v>
      </c>
      <c r="T14" s="3">
        <f t="shared" si="7"/>
        <v>0</v>
      </c>
      <c r="U14" s="3">
        <f t="shared" si="7"/>
        <v>0</v>
      </c>
    </row>
    <row r="15" spans="1:32" x14ac:dyDescent="0.25">
      <c r="A15" s="3" t="str">
        <f t="shared" si="4"/>
        <v>Harris Teeter</v>
      </c>
      <c r="B15" s="3" t="str">
        <f t="shared" si="4"/>
        <v>Eye Round Steak</v>
      </c>
      <c r="C15" s="3">
        <f t="shared" si="5"/>
        <v>1.339285714285714</v>
      </c>
      <c r="D15" s="3">
        <f t="shared" si="5"/>
        <v>5.3571428571428559</v>
      </c>
      <c r="E15" s="3" t="str">
        <f t="shared" si="6"/>
        <v>ounces</v>
      </c>
      <c r="F15" s="3">
        <f t="shared" si="7"/>
        <v>149.99999999999997</v>
      </c>
      <c r="G15" s="3">
        <f t="shared" si="7"/>
        <v>202.2321428571428</v>
      </c>
      <c r="H15" s="3">
        <f t="shared" si="7"/>
        <v>9.3749999999999982</v>
      </c>
      <c r="I15" s="3">
        <f t="shared" si="7"/>
        <v>0</v>
      </c>
      <c r="J15" s="3">
        <f t="shared" si="7"/>
        <v>29.464285714285708</v>
      </c>
      <c r="K15" s="3">
        <f t="shared" si="7"/>
        <v>0</v>
      </c>
      <c r="L15" s="3">
        <f t="shared" si="7"/>
        <v>0</v>
      </c>
      <c r="M15" s="3">
        <f t="shared" si="7"/>
        <v>0</v>
      </c>
      <c r="N15" s="3">
        <f t="shared" si="7"/>
        <v>0</v>
      </c>
      <c r="O15" s="3">
        <f t="shared" si="7"/>
        <v>0</v>
      </c>
      <c r="P15" s="3">
        <f t="shared" si="7"/>
        <v>0</v>
      </c>
      <c r="Q15" s="3">
        <f t="shared" si="7"/>
        <v>0</v>
      </c>
      <c r="R15" s="3">
        <f t="shared" si="7"/>
        <v>1.9285714285714279</v>
      </c>
      <c r="S15" s="3">
        <f t="shared" si="7"/>
        <v>0</v>
      </c>
      <c r="T15" s="3">
        <f t="shared" si="7"/>
        <v>0</v>
      </c>
      <c r="U15" s="3">
        <f t="shared" si="7"/>
        <v>0</v>
      </c>
    </row>
    <row r="16" spans="1:32" x14ac:dyDescent="0.25">
      <c r="A16" s="3" t="str">
        <f t="shared" si="4"/>
        <v>Mahatma</v>
      </c>
      <c r="B16" s="3" t="str">
        <f t="shared" si="4"/>
        <v>Brown Rice, Whole Grain Rice, Uncooked Rice</v>
      </c>
      <c r="C16" s="3">
        <f t="shared" si="5"/>
        <v>16.666666666666664</v>
      </c>
      <c r="D16" s="3">
        <f t="shared" si="5"/>
        <v>0.41666666666666663</v>
      </c>
      <c r="E16" s="3" t="str">
        <f t="shared" si="6"/>
        <v>cup</v>
      </c>
      <c r="F16" s="3">
        <f t="shared" si="7"/>
        <v>75</v>
      </c>
      <c r="G16" s="3">
        <f t="shared" si="7"/>
        <v>283.33333333333331</v>
      </c>
      <c r="H16" s="3">
        <f t="shared" si="7"/>
        <v>2.5</v>
      </c>
      <c r="I16" s="3">
        <f t="shared" si="7"/>
        <v>56.666666666666664</v>
      </c>
      <c r="J16" s="3">
        <f t="shared" si="7"/>
        <v>5</v>
      </c>
      <c r="K16" s="3">
        <f t="shared" si="7"/>
        <v>0</v>
      </c>
      <c r="L16" s="3">
        <f t="shared" si="7"/>
        <v>0</v>
      </c>
      <c r="M16" s="3">
        <f t="shared" si="7"/>
        <v>0</v>
      </c>
      <c r="N16" s="3">
        <f t="shared" si="7"/>
        <v>0</v>
      </c>
      <c r="O16" s="3">
        <f t="shared" si="7"/>
        <v>0</v>
      </c>
      <c r="P16" s="3">
        <f t="shared" si="7"/>
        <v>0</v>
      </c>
      <c r="Q16" s="3">
        <f t="shared" si="7"/>
        <v>0</v>
      </c>
      <c r="R16" s="3">
        <f t="shared" si="7"/>
        <v>1.6666666666666665</v>
      </c>
      <c r="S16" s="3">
        <f t="shared" si="7"/>
        <v>191.66666666666666</v>
      </c>
      <c r="T16" s="3">
        <f t="shared" si="7"/>
        <v>3.333333333333333</v>
      </c>
      <c r="U16" s="3">
        <f t="shared" si="7"/>
        <v>0</v>
      </c>
    </row>
    <row r="17" spans="1:26" x14ac:dyDescent="0.25">
      <c r="A17" s="3" t="str">
        <f t="shared" si="4"/>
        <v>Harris Teeter</v>
      </c>
      <c r="B17" s="3" t="str">
        <f t="shared" si="4"/>
        <v>Sharp Cheddar</v>
      </c>
      <c r="C17" s="3">
        <f t="shared" si="5"/>
        <v>21.428571428571431</v>
      </c>
      <c r="D17" s="3">
        <f t="shared" si="5"/>
        <v>2.6785714285714288</v>
      </c>
      <c r="E17" s="3" t="str">
        <f t="shared" si="6"/>
        <v>inch cube</v>
      </c>
      <c r="F17" s="3">
        <f>F8*$V8</f>
        <v>75</v>
      </c>
      <c r="G17" s="3">
        <f t="shared" si="7"/>
        <v>294.64285714285717</v>
      </c>
      <c r="H17" s="3">
        <f t="shared" si="7"/>
        <v>24.107142857142861</v>
      </c>
      <c r="I17" s="3">
        <f t="shared" si="7"/>
        <v>0</v>
      </c>
      <c r="J17" s="3">
        <f t="shared" si="7"/>
        <v>18.75</v>
      </c>
      <c r="K17" s="3">
        <f t="shared" si="7"/>
        <v>16.071428571428573</v>
      </c>
      <c r="L17" s="3">
        <f t="shared" si="7"/>
        <v>0</v>
      </c>
      <c r="M17" s="3">
        <f t="shared" si="7"/>
        <v>241.07142857142858</v>
      </c>
      <c r="N17" s="3">
        <f t="shared" si="7"/>
        <v>80.357142857142861</v>
      </c>
      <c r="O17" s="3">
        <f t="shared" si="7"/>
        <v>482.14285714285717</v>
      </c>
      <c r="P17" s="3">
        <f t="shared" si="7"/>
        <v>0</v>
      </c>
      <c r="Q17" s="3">
        <f t="shared" si="7"/>
        <v>522.32142857142867</v>
      </c>
      <c r="R17" s="3">
        <f t="shared" si="7"/>
        <v>0</v>
      </c>
      <c r="S17" s="3">
        <f t="shared" si="7"/>
        <v>0</v>
      </c>
      <c r="T17" s="3">
        <f t="shared" si="7"/>
        <v>0</v>
      </c>
      <c r="U17" s="3">
        <f t="shared" si="7"/>
        <v>0</v>
      </c>
    </row>
    <row r="19" spans="1:26" x14ac:dyDescent="0.25">
      <c r="G19" s="12">
        <f>SUM(G11:G17)</f>
        <v>1572.0833333333333</v>
      </c>
      <c r="J19">
        <f>SUM(J11:J17)</f>
        <v>125.62053571428571</v>
      </c>
      <c r="L19" s="3" t="s">
        <v>85</v>
      </c>
      <c r="M19" t="s">
        <v>86</v>
      </c>
      <c r="N19" t="s">
        <v>87</v>
      </c>
      <c r="O19" t="s">
        <v>48</v>
      </c>
      <c r="Q19" t="s">
        <v>91</v>
      </c>
    </row>
    <row r="20" spans="1:26" x14ac:dyDescent="0.25">
      <c r="L20">
        <f>MAX(O20*0.7,(0.25*G21)/4)</f>
        <v>118.99999999999999</v>
      </c>
      <c r="M20">
        <f>MIN(O20,(0.35*G21)/4)</f>
        <v>140</v>
      </c>
      <c r="N20">
        <f>J19</f>
        <v>125.62053571428571</v>
      </c>
      <c r="O20">
        <v>170</v>
      </c>
      <c r="Q20">
        <f>J19/0.7</f>
        <v>179.4579081632653</v>
      </c>
    </row>
    <row r="21" spans="1:26" x14ac:dyDescent="0.25">
      <c r="F21" t="s">
        <v>81</v>
      </c>
      <c r="G21">
        <v>1600</v>
      </c>
      <c r="J21">
        <v>168</v>
      </c>
    </row>
    <row r="22" spans="1:26" x14ac:dyDescent="0.25">
      <c r="L22" t="s">
        <v>83</v>
      </c>
      <c r="M22" t="s">
        <v>84</v>
      </c>
      <c r="N22" t="s">
        <v>82</v>
      </c>
      <c r="V22" s="3"/>
      <c r="W22" s="3"/>
      <c r="X22" s="3"/>
      <c r="Y22" s="3"/>
      <c r="Z22" s="3"/>
    </row>
    <row r="23" spans="1:26" x14ac:dyDescent="0.25">
      <c r="L23" s="18">
        <v>0.25</v>
      </c>
      <c r="M23" s="18">
        <v>0.45</v>
      </c>
      <c r="N23" s="17">
        <f>I26</f>
        <v>0.18268229166666664</v>
      </c>
    </row>
    <row r="24" spans="1:26" x14ac:dyDescent="0.25">
      <c r="H24">
        <f>SUM(H11:H17)</f>
        <v>85.138392857142861</v>
      </c>
      <c r="I24">
        <f>SUM(I11:I17)</f>
        <v>73.072916666666657</v>
      </c>
      <c r="J24">
        <f>SUM(J11:J17)</f>
        <v>125.62053571428571</v>
      </c>
    </row>
    <row r="25" spans="1:26" x14ac:dyDescent="0.25">
      <c r="H25">
        <f>H24*9</f>
        <v>766.24553571428578</v>
      </c>
      <c r="I25">
        <f>I24*4</f>
        <v>292.29166666666663</v>
      </c>
      <c r="J25">
        <f>J24*4</f>
        <v>502.48214285714283</v>
      </c>
      <c r="M25" t="s">
        <v>89</v>
      </c>
      <c r="N25" t="s">
        <v>90</v>
      </c>
    </row>
    <row r="26" spans="1:26" x14ac:dyDescent="0.25">
      <c r="F26">
        <f>SUM(F11:F16)</f>
        <v>712.5</v>
      </c>
      <c r="H26" s="16">
        <f>H25/$G$21</f>
        <v>0.47890345982142862</v>
      </c>
      <c r="I26" s="16">
        <f>I25/$G$21</f>
        <v>0.18268229166666664</v>
      </c>
      <c r="J26" s="16">
        <f>J25/$G$21</f>
        <v>0.31405133928571427</v>
      </c>
      <c r="M26" s="17">
        <v>0.35</v>
      </c>
      <c r="N26" s="17">
        <f>H26</f>
        <v>0.47890345982142862</v>
      </c>
    </row>
  </sheetData>
  <conditionalFormatting sqref="N26">
    <cfRule type="cellIs" dxfId="7" priority="4" operator="lessThan">
      <formula>$M$26</formula>
    </cfRule>
  </conditionalFormatting>
  <conditionalFormatting sqref="N23">
    <cfRule type="cellIs" dxfId="6" priority="3" operator="between">
      <formula>$L$23</formula>
      <formula>$M$23</formula>
    </cfRule>
  </conditionalFormatting>
  <conditionalFormatting sqref="N20">
    <cfRule type="cellIs" dxfId="5" priority="2" operator="greaterThan">
      <formula>$L$20</formula>
    </cfRule>
  </conditionalFormatting>
  <conditionalFormatting sqref="G19">
    <cfRule type="cellIs" dxfId="4" priority="1" operator="lessThanOrEqual">
      <formula>$G$21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7C7E6-A851-460E-B508-D30C9243F738}">
  <dimension ref="A1:AC26"/>
  <sheetViews>
    <sheetView tabSelected="1" workbookViewId="0">
      <selection activeCell="V2" sqref="V2"/>
    </sheetView>
  </sheetViews>
  <sheetFormatPr defaultRowHeight="15" x14ac:dyDescent="0.25"/>
  <cols>
    <col min="1" max="1" width="12.42578125" bestFit="1" customWidth="1"/>
    <col min="2" max="2" width="23.140625" style="1" bestFit="1" customWidth="1"/>
    <col min="3" max="3" width="11.85546875" bestFit="1" customWidth="1"/>
    <col min="6" max="6" width="7.5703125" bestFit="1" customWidth="1"/>
    <col min="7" max="7" width="9.5703125" bestFit="1" customWidth="1"/>
    <col min="8" max="9" width="6.5703125" bestFit="1" customWidth="1"/>
    <col min="10" max="10" width="7.5703125" bestFit="1" customWidth="1"/>
    <col min="11" max="11" width="9.7109375" bestFit="1" customWidth="1"/>
    <col min="12" max="12" width="13.42578125" bestFit="1" customWidth="1"/>
    <col min="13" max="13" width="15" customWidth="1"/>
    <col min="14" max="14" width="11.28515625" customWidth="1"/>
    <col min="15" max="15" width="7.7109375" bestFit="1" customWidth="1"/>
    <col min="16" max="17" width="8" bestFit="1" customWidth="1"/>
    <col min="18" max="18" width="4.5703125" bestFit="1" customWidth="1"/>
    <col min="19" max="19" width="10.140625" bestFit="1" customWidth="1"/>
    <col min="20" max="20" width="7.42578125" bestFit="1" customWidth="1"/>
    <col min="21" max="21" width="6.7109375" bestFit="1" customWidth="1"/>
    <col min="22" max="23" width="8" bestFit="1" customWidth="1"/>
    <col min="24" max="24" width="5.140625" bestFit="1" customWidth="1"/>
    <col min="25" max="25" width="4.5703125" bestFit="1" customWidth="1"/>
    <col min="26" max="26" width="8.5703125" bestFit="1" customWidth="1"/>
  </cols>
  <sheetData>
    <row r="1" spans="1:29" s="4" customFormat="1" ht="45" x14ac:dyDescent="0.25">
      <c r="A1" s="4" t="s">
        <v>0</v>
      </c>
      <c r="B1" s="4" t="s">
        <v>1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17</v>
      </c>
      <c r="Q1" s="4" t="s">
        <v>18</v>
      </c>
      <c r="R1" s="4" t="s">
        <v>19</v>
      </c>
      <c r="S1" s="4" t="s">
        <v>20</v>
      </c>
      <c r="T1" s="4" t="s">
        <v>26</v>
      </c>
      <c r="U1" s="4" t="s">
        <v>27</v>
      </c>
      <c r="V1" s="4" t="s">
        <v>78</v>
      </c>
      <c r="X1" s="3" t="s">
        <v>22</v>
      </c>
      <c r="Y1" s="3" t="s">
        <v>80</v>
      </c>
      <c r="Z1" s="3" t="s">
        <v>88</v>
      </c>
      <c r="AA1" s="4" t="s">
        <v>38</v>
      </c>
      <c r="AB1" s="4" t="s">
        <v>93</v>
      </c>
    </row>
    <row r="2" spans="1:29" s="3" customFormat="1" x14ac:dyDescent="0.25">
      <c r="A2" s="3" t="s">
        <v>2</v>
      </c>
      <c r="B2" s="4" t="s">
        <v>30</v>
      </c>
      <c r="C2" s="3">
        <v>35</v>
      </c>
      <c r="D2" s="3">
        <v>2</v>
      </c>
      <c r="E2" s="3" t="s">
        <v>31</v>
      </c>
      <c r="F2" s="3">
        <v>32</v>
      </c>
      <c r="G2" s="3">
        <v>180</v>
      </c>
      <c r="H2" s="3">
        <v>15</v>
      </c>
      <c r="I2" s="3">
        <v>7</v>
      </c>
      <c r="J2" s="3">
        <v>7</v>
      </c>
      <c r="K2" s="3">
        <v>2.5</v>
      </c>
      <c r="O2" s="3">
        <v>150</v>
      </c>
      <c r="Q2" s="3">
        <v>30</v>
      </c>
      <c r="R2" s="3">
        <v>1</v>
      </c>
      <c r="S2" s="3">
        <v>210</v>
      </c>
      <c r="T2" s="3">
        <v>2</v>
      </c>
      <c r="U2" s="3">
        <v>4</v>
      </c>
      <c r="V2" s="15">
        <v>1.6481481481481481</v>
      </c>
      <c r="Z2" s="9">
        <f>F11</f>
        <v>52.74074074074074</v>
      </c>
      <c r="AB2" s="3">
        <f>V2*4</f>
        <v>6.5925925925925926</v>
      </c>
      <c r="AC2" s="3" t="s">
        <v>97</v>
      </c>
    </row>
    <row r="3" spans="1:29" s="3" customFormat="1" x14ac:dyDescent="0.25">
      <c r="A3" s="3" t="s">
        <v>2</v>
      </c>
      <c r="B3" s="4" t="s">
        <v>32</v>
      </c>
      <c r="C3" s="3">
        <v>7</v>
      </c>
      <c r="D3" s="3">
        <v>2</v>
      </c>
      <c r="E3" s="3" t="s">
        <v>33</v>
      </c>
      <c r="F3" s="3">
        <v>15</v>
      </c>
      <c r="G3" s="3">
        <v>80</v>
      </c>
      <c r="H3" s="3">
        <v>6</v>
      </c>
      <c r="I3" s="3">
        <v>0</v>
      </c>
      <c r="J3" s="3">
        <v>4</v>
      </c>
      <c r="K3" s="3">
        <v>2.5</v>
      </c>
      <c r="N3" s="3">
        <v>15</v>
      </c>
      <c r="O3" s="3">
        <v>180</v>
      </c>
      <c r="R3" s="3">
        <v>0.36</v>
      </c>
      <c r="V3" s="15">
        <v>0</v>
      </c>
      <c r="Z3" s="9">
        <f t="shared" ref="Z3:Z8" si="0">F12</f>
        <v>0</v>
      </c>
      <c r="AB3" s="3">
        <f>D3*V3*4</f>
        <v>0</v>
      </c>
      <c r="AC3" s="3" t="s">
        <v>33</v>
      </c>
    </row>
    <row r="4" spans="1:29" s="3" customFormat="1" x14ac:dyDescent="0.25">
      <c r="A4" s="3" t="s">
        <v>2</v>
      </c>
      <c r="B4" s="4" t="s">
        <v>35</v>
      </c>
      <c r="C4" s="3">
        <v>12</v>
      </c>
      <c r="D4" s="3">
        <v>1</v>
      </c>
      <c r="E4" s="3" t="s">
        <v>36</v>
      </c>
      <c r="F4" s="3">
        <v>50</v>
      </c>
      <c r="G4" s="3">
        <v>70</v>
      </c>
      <c r="H4" s="3">
        <v>5</v>
      </c>
      <c r="I4" s="3">
        <v>0</v>
      </c>
      <c r="J4" s="3">
        <v>6</v>
      </c>
      <c r="K4" s="3">
        <v>1.5</v>
      </c>
      <c r="N4" s="3">
        <v>185</v>
      </c>
      <c r="O4" s="3">
        <v>70</v>
      </c>
      <c r="P4" s="3">
        <v>1</v>
      </c>
      <c r="Q4" s="3">
        <v>30</v>
      </c>
      <c r="R4" s="3">
        <v>0.9</v>
      </c>
      <c r="V4" s="15">
        <v>0</v>
      </c>
      <c r="Z4" s="9">
        <f t="shared" si="0"/>
        <v>0</v>
      </c>
      <c r="AB4" s="3">
        <f>V4*4</f>
        <v>0</v>
      </c>
      <c r="AC4" s="3" t="s">
        <v>96</v>
      </c>
    </row>
    <row r="5" spans="1:29" s="3" customFormat="1" ht="45" x14ac:dyDescent="0.25">
      <c r="A5" s="3" t="s">
        <v>2</v>
      </c>
      <c r="B5" s="4" t="s">
        <v>23</v>
      </c>
      <c r="C5" s="3">
        <v>4</v>
      </c>
      <c r="D5" s="3">
        <v>3</v>
      </c>
      <c r="E5" s="3" t="s">
        <v>22</v>
      </c>
      <c r="F5" s="3">
        <v>85</v>
      </c>
      <c r="G5" s="3">
        <v>45</v>
      </c>
      <c r="H5" s="3">
        <v>0</v>
      </c>
      <c r="I5" s="3">
        <v>0</v>
      </c>
      <c r="J5" s="3">
        <v>11</v>
      </c>
      <c r="N5" s="3">
        <v>120</v>
      </c>
      <c r="O5" s="3">
        <v>400</v>
      </c>
      <c r="V5" s="15">
        <v>4</v>
      </c>
      <c r="X5" s="3">
        <f>V5*D5</f>
        <v>12</v>
      </c>
      <c r="Y5" s="19">
        <f>0.0625*X5</f>
        <v>0.75</v>
      </c>
      <c r="Z5" s="9">
        <f t="shared" si="0"/>
        <v>340</v>
      </c>
      <c r="AB5" s="3">
        <f>(V5/C5)*4</f>
        <v>4</v>
      </c>
      <c r="AC5" s="3" t="s">
        <v>95</v>
      </c>
    </row>
    <row r="6" spans="1:29" s="3" customFormat="1" x14ac:dyDescent="0.25">
      <c r="A6" s="3" t="s">
        <v>2</v>
      </c>
      <c r="B6" s="4" t="s">
        <v>34</v>
      </c>
      <c r="C6" s="3">
        <v>1</v>
      </c>
      <c r="D6" s="3">
        <v>4</v>
      </c>
      <c r="E6" s="3" t="s">
        <v>22</v>
      </c>
      <c r="F6" s="3">
        <v>112</v>
      </c>
      <c r="G6" s="3">
        <v>151</v>
      </c>
      <c r="H6" s="3">
        <v>7</v>
      </c>
      <c r="I6" s="3">
        <v>0</v>
      </c>
      <c r="J6" s="3">
        <v>22</v>
      </c>
      <c r="R6" s="3">
        <v>1.44</v>
      </c>
      <c r="V6" s="15">
        <v>0</v>
      </c>
      <c r="X6" s="3">
        <f>V6*D6</f>
        <v>0</v>
      </c>
      <c r="Y6" s="19">
        <f>0.0625*X6</f>
        <v>0</v>
      </c>
      <c r="Z6" s="9">
        <f t="shared" si="0"/>
        <v>0</v>
      </c>
      <c r="AB6" s="3">
        <f>Y6*4</f>
        <v>0</v>
      </c>
      <c r="AC6" s="3" t="s">
        <v>94</v>
      </c>
    </row>
    <row r="7" spans="1:29" s="3" customFormat="1" ht="45" x14ac:dyDescent="0.25">
      <c r="A7" s="3" t="s">
        <v>77</v>
      </c>
      <c r="B7" s="4" t="s">
        <v>76</v>
      </c>
      <c r="C7" s="3">
        <v>10</v>
      </c>
      <c r="D7" s="3">
        <v>0.25</v>
      </c>
      <c r="E7" s="3" t="s">
        <v>38</v>
      </c>
      <c r="F7" s="3">
        <v>45</v>
      </c>
      <c r="G7" s="3">
        <v>170</v>
      </c>
      <c r="H7" s="3">
        <v>1.5</v>
      </c>
      <c r="I7" s="3">
        <v>34</v>
      </c>
      <c r="J7" s="3">
        <v>3</v>
      </c>
      <c r="R7" s="3">
        <v>1</v>
      </c>
      <c r="S7" s="3">
        <v>115</v>
      </c>
      <c r="T7" s="3">
        <v>2</v>
      </c>
      <c r="V7" s="15">
        <v>1.6666666666666665</v>
      </c>
      <c r="Z7" s="9">
        <f t="shared" si="0"/>
        <v>75</v>
      </c>
      <c r="AA7" s="21">
        <f>V7*D7</f>
        <v>0.41666666666666663</v>
      </c>
      <c r="AB7" s="20">
        <f>(V7*4)/C7</f>
        <v>0.66666666666666663</v>
      </c>
      <c r="AC7" s="3" t="s">
        <v>95</v>
      </c>
    </row>
    <row r="8" spans="1:29" s="3" customFormat="1" x14ac:dyDescent="0.25">
      <c r="A8" s="3" t="s">
        <v>2</v>
      </c>
      <c r="B8" s="4" t="s">
        <v>98</v>
      </c>
      <c r="C8" s="3">
        <v>8</v>
      </c>
      <c r="D8" s="3">
        <v>1</v>
      </c>
      <c r="E8" s="3" t="s">
        <v>99</v>
      </c>
      <c r="F8" s="3">
        <v>28</v>
      </c>
      <c r="G8" s="3">
        <v>110</v>
      </c>
      <c r="H8" s="3">
        <v>9</v>
      </c>
      <c r="I8" s="3">
        <v>0</v>
      </c>
      <c r="J8" s="3">
        <v>7</v>
      </c>
      <c r="K8" s="3">
        <v>6</v>
      </c>
      <c r="M8" s="3">
        <v>90</v>
      </c>
      <c r="N8" s="3">
        <v>30</v>
      </c>
      <c r="O8" s="3">
        <v>180</v>
      </c>
      <c r="Q8" s="3">
        <v>195</v>
      </c>
      <c r="V8" s="15">
        <v>0</v>
      </c>
      <c r="Z8" s="9">
        <f t="shared" si="0"/>
        <v>0</v>
      </c>
      <c r="AA8" s="3" t="s">
        <v>92</v>
      </c>
    </row>
    <row r="9" spans="1:29" s="3" customFormat="1" x14ac:dyDescent="0.25"/>
    <row r="10" spans="1:29" s="3" customFormat="1" x14ac:dyDescent="0.25"/>
    <row r="11" spans="1:29" s="3" customFormat="1" x14ac:dyDescent="0.25">
      <c r="A11" s="3" t="str">
        <f>A2</f>
        <v>Harris Teeter</v>
      </c>
      <c r="B11" s="3" t="str">
        <f>B2</f>
        <v>Peanut Butter</v>
      </c>
      <c r="C11" s="3">
        <f>C2*$V2</f>
        <v>57.685185185185183</v>
      </c>
      <c r="D11" s="3">
        <f>D2*$V2</f>
        <v>3.2962962962962963</v>
      </c>
      <c r="E11" s="3" t="str">
        <f>E2</f>
        <v>Tbsp</v>
      </c>
      <c r="F11" s="3">
        <f>F2*$V2</f>
        <v>52.74074074074074</v>
      </c>
      <c r="G11" s="3">
        <f>G2*$V2</f>
        <v>296.66666666666669</v>
      </c>
      <c r="H11" s="3">
        <f>H2*$V2</f>
        <v>24.722222222222221</v>
      </c>
      <c r="I11" s="3">
        <f>I2*$V2</f>
        <v>11.537037037037036</v>
      </c>
      <c r="J11" s="3">
        <f>J2*$V2</f>
        <v>11.537037037037036</v>
      </c>
      <c r="K11" s="3">
        <f>K2*$V2</f>
        <v>4.1203703703703702</v>
      </c>
      <c r="L11" s="3">
        <f>L2*$V2</f>
        <v>0</v>
      </c>
      <c r="M11" s="3">
        <f>M2*$V2</f>
        <v>0</v>
      </c>
      <c r="N11" s="3">
        <f>N2*$V2</f>
        <v>0</v>
      </c>
      <c r="O11" s="3">
        <f>O2*$V2</f>
        <v>247.22222222222223</v>
      </c>
      <c r="P11" s="3">
        <f>P2*$V2</f>
        <v>0</v>
      </c>
      <c r="Q11" s="3">
        <f>Q2*$V2</f>
        <v>49.444444444444443</v>
      </c>
      <c r="R11" s="3">
        <f>R2*$V2</f>
        <v>1.6481481481481481</v>
      </c>
      <c r="S11" s="3">
        <f>S2*$V2</f>
        <v>346.11111111111109</v>
      </c>
      <c r="T11" s="3">
        <f>T2*$V2</f>
        <v>3.2962962962962963</v>
      </c>
      <c r="U11" s="3">
        <f>U2*$V2</f>
        <v>6.5925925925925926</v>
      </c>
    </row>
    <row r="12" spans="1:29" s="3" customFormat="1" x14ac:dyDescent="0.25">
      <c r="A12" s="3" t="str">
        <f t="shared" ref="A12:B17" si="1">A3</f>
        <v>Harris Teeter</v>
      </c>
      <c r="B12" s="3" t="str">
        <f t="shared" si="1"/>
        <v>Lower Sodium Bacon</v>
      </c>
      <c r="C12" s="3">
        <f t="shared" ref="C12:D17" si="2">C3*$V3</f>
        <v>0</v>
      </c>
      <c r="D12" s="3">
        <f t="shared" si="2"/>
        <v>0</v>
      </c>
      <c r="E12" s="3" t="str">
        <f t="shared" ref="E12:E17" si="3">E3</f>
        <v>slices</v>
      </c>
      <c r="F12" s="3">
        <f t="shared" ref="F12:U17" si="4">F3*$V3</f>
        <v>0</v>
      </c>
      <c r="G12" s="3">
        <f t="shared" si="4"/>
        <v>0</v>
      </c>
      <c r="H12" s="3">
        <f t="shared" si="4"/>
        <v>0</v>
      </c>
      <c r="I12" s="3">
        <f t="shared" si="4"/>
        <v>0</v>
      </c>
      <c r="J12" s="3">
        <f t="shared" si="4"/>
        <v>0</v>
      </c>
      <c r="K12" s="3">
        <f t="shared" si="4"/>
        <v>0</v>
      </c>
      <c r="L12" s="3">
        <f t="shared" si="4"/>
        <v>0</v>
      </c>
      <c r="M12" s="3">
        <f t="shared" si="4"/>
        <v>0</v>
      </c>
      <c r="N12" s="3">
        <f t="shared" si="4"/>
        <v>0</v>
      </c>
      <c r="O12" s="3">
        <f t="shared" si="4"/>
        <v>0</v>
      </c>
      <c r="P12" s="3">
        <f t="shared" si="4"/>
        <v>0</v>
      </c>
      <c r="Q12" s="3">
        <f t="shared" si="4"/>
        <v>0</v>
      </c>
      <c r="R12" s="3">
        <f t="shared" si="4"/>
        <v>0</v>
      </c>
      <c r="S12" s="3">
        <f t="shared" si="4"/>
        <v>0</v>
      </c>
      <c r="T12" s="3">
        <f t="shared" si="4"/>
        <v>0</v>
      </c>
      <c r="U12" s="3">
        <f t="shared" si="4"/>
        <v>0</v>
      </c>
    </row>
    <row r="13" spans="1:29" s="3" customFormat="1" x14ac:dyDescent="0.25">
      <c r="A13" s="3" t="str">
        <f t="shared" si="1"/>
        <v>Harris Teeter</v>
      </c>
      <c r="B13" s="3" t="str">
        <f t="shared" si="1"/>
        <v>Grade A Large Egg</v>
      </c>
      <c r="C13" s="3">
        <f t="shared" si="2"/>
        <v>0</v>
      </c>
      <c r="D13" s="3">
        <f t="shared" si="2"/>
        <v>0</v>
      </c>
      <c r="E13" s="3" t="str">
        <f t="shared" si="3"/>
        <v>egg</v>
      </c>
      <c r="F13" s="3">
        <f t="shared" si="4"/>
        <v>0</v>
      </c>
      <c r="G13" s="3">
        <f t="shared" si="4"/>
        <v>0</v>
      </c>
      <c r="H13" s="3">
        <f t="shared" si="4"/>
        <v>0</v>
      </c>
      <c r="I13" s="3">
        <f t="shared" si="4"/>
        <v>0</v>
      </c>
      <c r="J13" s="3">
        <f t="shared" si="4"/>
        <v>0</v>
      </c>
      <c r="K13" s="3">
        <f t="shared" si="4"/>
        <v>0</v>
      </c>
      <c r="L13" s="3">
        <f t="shared" si="4"/>
        <v>0</v>
      </c>
      <c r="M13" s="3">
        <f t="shared" si="4"/>
        <v>0</v>
      </c>
      <c r="N13" s="3">
        <f t="shared" si="4"/>
        <v>0</v>
      </c>
      <c r="O13" s="3">
        <f t="shared" si="4"/>
        <v>0</v>
      </c>
      <c r="P13" s="3">
        <f t="shared" si="4"/>
        <v>0</v>
      </c>
      <c r="Q13" s="3">
        <f t="shared" si="4"/>
        <v>0</v>
      </c>
      <c r="R13" s="3">
        <f t="shared" si="4"/>
        <v>0</v>
      </c>
      <c r="S13" s="3">
        <f t="shared" si="4"/>
        <v>0</v>
      </c>
      <c r="T13" s="3">
        <f t="shared" si="4"/>
        <v>0</v>
      </c>
      <c r="U13" s="3">
        <f t="shared" si="4"/>
        <v>0</v>
      </c>
    </row>
    <row r="14" spans="1:29" s="3" customFormat="1" x14ac:dyDescent="0.25">
      <c r="A14" s="3" t="str">
        <f t="shared" si="1"/>
        <v>Harris Teeter</v>
      </c>
      <c r="B14" s="3" t="str">
        <f t="shared" si="1"/>
        <v>Fishermans Market Tail On Peeled &amp; Deveined Cooked Shrimp</v>
      </c>
      <c r="C14" s="3">
        <f t="shared" si="2"/>
        <v>16</v>
      </c>
      <c r="D14" s="3">
        <f t="shared" si="2"/>
        <v>12</v>
      </c>
      <c r="E14" s="3" t="str">
        <f t="shared" si="3"/>
        <v>ounces</v>
      </c>
      <c r="F14" s="3">
        <f t="shared" si="4"/>
        <v>340</v>
      </c>
      <c r="G14" s="3">
        <f t="shared" si="4"/>
        <v>180</v>
      </c>
      <c r="H14" s="3">
        <f t="shared" si="4"/>
        <v>0</v>
      </c>
      <c r="I14" s="3">
        <f t="shared" si="4"/>
        <v>0</v>
      </c>
      <c r="J14" s="3">
        <f t="shared" si="4"/>
        <v>44</v>
      </c>
      <c r="K14" s="3">
        <f t="shared" si="4"/>
        <v>0</v>
      </c>
      <c r="L14" s="3">
        <f t="shared" si="4"/>
        <v>0</v>
      </c>
      <c r="M14" s="3">
        <f t="shared" si="4"/>
        <v>0</v>
      </c>
      <c r="N14" s="3">
        <f t="shared" si="4"/>
        <v>480</v>
      </c>
      <c r="O14" s="3">
        <f t="shared" si="4"/>
        <v>1600</v>
      </c>
      <c r="P14" s="3">
        <f t="shared" si="4"/>
        <v>0</v>
      </c>
      <c r="Q14" s="3">
        <f t="shared" si="4"/>
        <v>0</v>
      </c>
      <c r="R14" s="3">
        <f t="shared" si="4"/>
        <v>0</v>
      </c>
      <c r="S14" s="3">
        <f t="shared" si="4"/>
        <v>0</v>
      </c>
      <c r="T14" s="3">
        <f t="shared" si="4"/>
        <v>0</v>
      </c>
      <c r="U14" s="3">
        <f t="shared" si="4"/>
        <v>0</v>
      </c>
    </row>
    <row r="15" spans="1:29" x14ac:dyDescent="0.25">
      <c r="A15" s="3" t="str">
        <f t="shared" si="1"/>
        <v>Harris Teeter</v>
      </c>
      <c r="B15" s="3" t="str">
        <f t="shared" si="1"/>
        <v>Eye Round Steak</v>
      </c>
      <c r="C15" s="3">
        <f t="shared" si="2"/>
        <v>0</v>
      </c>
      <c r="D15" s="3">
        <f t="shared" si="2"/>
        <v>0</v>
      </c>
      <c r="E15" s="3" t="str">
        <f t="shared" si="3"/>
        <v>ounces</v>
      </c>
      <c r="F15" s="3">
        <f t="shared" si="4"/>
        <v>0</v>
      </c>
      <c r="G15" s="3">
        <f t="shared" si="4"/>
        <v>0</v>
      </c>
      <c r="H15" s="3">
        <f t="shared" si="4"/>
        <v>0</v>
      </c>
      <c r="I15" s="3">
        <f t="shared" si="4"/>
        <v>0</v>
      </c>
      <c r="J15" s="3">
        <f t="shared" si="4"/>
        <v>0</v>
      </c>
      <c r="K15" s="3">
        <f t="shared" si="4"/>
        <v>0</v>
      </c>
      <c r="L15" s="3">
        <f t="shared" si="4"/>
        <v>0</v>
      </c>
      <c r="M15" s="3">
        <f t="shared" si="4"/>
        <v>0</v>
      </c>
      <c r="N15" s="3">
        <f t="shared" si="4"/>
        <v>0</v>
      </c>
      <c r="O15" s="3">
        <f t="shared" si="4"/>
        <v>0</v>
      </c>
      <c r="P15" s="3">
        <f t="shared" si="4"/>
        <v>0</v>
      </c>
      <c r="Q15" s="3">
        <f t="shared" si="4"/>
        <v>0</v>
      </c>
      <c r="R15" s="3">
        <f t="shared" si="4"/>
        <v>0</v>
      </c>
      <c r="S15" s="3">
        <f t="shared" si="4"/>
        <v>0</v>
      </c>
      <c r="T15" s="3">
        <f t="shared" si="4"/>
        <v>0</v>
      </c>
      <c r="U15" s="3">
        <f t="shared" si="4"/>
        <v>0</v>
      </c>
    </row>
    <row r="16" spans="1:29" x14ac:dyDescent="0.25">
      <c r="A16" s="3" t="str">
        <f t="shared" si="1"/>
        <v>Mahatma</v>
      </c>
      <c r="B16" s="3" t="str">
        <f t="shared" si="1"/>
        <v>Brown Rice, Whole Grain Rice, Uncooked Rice</v>
      </c>
      <c r="C16" s="3">
        <f t="shared" si="2"/>
        <v>16.666666666666664</v>
      </c>
      <c r="D16" s="3">
        <f t="shared" si="2"/>
        <v>0.41666666666666663</v>
      </c>
      <c r="E16" s="3" t="str">
        <f t="shared" si="3"/>
        <v>cup</v>
      </c>
      <c r="F16" s="3">
        <f t="shared" si="4"/>
        <v>75</v>
      </c>
      <c r="G16" s="3">
        <f t="shared" si="4"/>
        <v>283.33333333333331</v>
      </c>
      <c r="H16" s="3">
        <f t="shared" si="4"/>
        <v>2.5</v>
      </c>
      <c r="I16" s="3">
        <f t="shared" si="4"/>
        <v>56.666666666666664</v>
      </c>
      <c r="J16" s="3">
        <f t="shared" si="4"/>
        <v>5</v>
      </c>
      <c r="K16" s="3">
        <f t="shared" si="4"/>
        <v>0</v>
      </c>
      <c r="L16" s="3">
        <f t="shared" si="4"/>
        <v>0</v>
      </c>
      <c r="M16" s="3">
        <f t="shared" si="4"/>
        <v>0</v>
      </c>
      <c r="N16" s="3">
        <f t="shared" si="4"/>
        <v>0</v>
      </c>
      <c r="O16" s="3">
        <f t="shared" si="4"/>
        <v>0</v>
      </c>
      <c r="P16" s="3">
        <f t="shared" si="4"/>
        <v>0</v>
      </c>
      <c r="Q16" s="3">
        <f t="shared" si="4"/>
        <v>0</v>
      </c>
      <c r="R16" s="3">
        <f t="shared" si="4"/>
        <v>1.6666666666666665</v>
      </c>
      <c r="S16" s="3">
        <f t="shared" si="4"/>
        <v>191.66666666666666</v>
      </c>
      <c r="T16" s="3">
        <f t="shared" si="4"/>
        <v>3.333333333333333</v>
      </c>
      <c r="U16" s="3">
        <f t="shared" si="4"/>
        <v>0</v>
      </c>
    </row>
    <row r="17" spans="1:26" x14ac:dyDescent="0.25">
      <c r="A17" s="3" t="str">
        <f t="shared" si="1"/>
        <v>Harris Teeter</v>
      </c>
      <c r="B17" s="3" t="str">
        <f t="shared" si="1"/>
        <v>Sharp Cheddar</v>
      </c>
      <c r="C17" s="3">
        <f t="shared" si="2"/>
        <v>0</v>
      </c>
      <c r="D17" s="3">
        <f t="shared" si="2"/>
        <v>0</v>
      </c>
      <c r="E17" s="3" t="str">
        <f t="shared" si="3"/>
        <v>inch cube</v>
      </c>
      <c r="F17" s="3">
        <f>F8*$V8</f>
        <v>0</v>
      </c>
      <c r="G17" s="3">
        <f t="shared" si="4"/>
        <v>0</v>
      </c>
      <c r="H17" s="3">
        <f t="shared" si="4"/>
        <v>0</v>
      </c>
      <c r="I17" s="3">
        <f t="shared" si="4"/>
        <v>0</v>
      </c>
      <c r="J17" s="3">
        <f t="shared" si="4"/>
        <v>0</v>
      </c>
      <c r="K17" s="3">
        <f t="shared" si="4"/>
        <v>0</v>
      </c>
      <c r="L17" s="3">
        <f t="shared" si="4"/>
        <v>0</v>
      </c>
      <c r="M17" s="3">
        <f t="shared" si="4"/>
        <v>0</v>
      </c>
      <c r="N17" s="3">
        <f t="shared" si="4"/>
        <v>0</v>
      </c>
      <c r="O17" s="3">
        <f t="shared" si="4"/>
        <v>0</v>
      </c>
      <c r="P17" s="3">
        <f t="shared" si="4"/>
        <v>0</v>
      </c>
      <c r="Q17" s="3">
        <f t="shared" si="4"/>
        <v>0</v>
      </c>
      <c r="R17" s="3">
        <f t="shared" si="4"/>
        <v>0</v>
      </c>
      <c r="S17" s="3">
        <f t="shared" si="4"/>
        <v>0</v>
      </c>
      <c r="T17" s="3">
        <f t="shared" si="4"/>
        <v>0</v>
      </c>
      <c r="U17" s="3">
        <f t="shared" si="4"/>
        <v>0</v>
      </c>
    </row>
    <row r="19" spans="1:26" x14ac:dyDescent="0.25">
      <c r="G19" s="12">
        <f>SUM(G11:G17)</f>
        <v>760</v>
      </c>
      <c r="J19">
        <f>SUM(J11:J17)</f>
        <v>60.537037037037038</v>
      </c>
      <c r="L19" s="3" t="s">
        <v>85</v>
      </c>
      <c r="M19" t="s">
        <v>86</v>
      </c>
      <c r="N19" t="s">
        <v>87</v>
      </c>
      <c r="O19" t="s">
        <v>48</v>
      </c>
      <c r="Q19" t="s">
        <v>91</v>
      </c>
    </row>
    <row r="20" spans="1:26" x14ac:dyDescent="0.25">
      <c r="L20">
        <f>MAX(O20*0.7,(0.25*G21)/4)</f>
        <v>118.99999999999999</v>
      </c>
      <c r="M20">
        <f>MIN(O20,(0.35*G21)/4)</f>
        <v>66.5</v>
      </c>
      <c r="N20">
        <f>J19</f>
        <v>60.537037037037038</v>
      </c>
      <c r="O20">
        <v>170</v>
      </c>
      <c r="Q20">
        <f>J19/0.7</f>
        <v>86.481481481481495</v>
      </c>
    </row>
    <row r="21" spans="1:26" x14ac:dyDescent="0.25">
      <c r="F21" t="s">
        <v>81</v>
      </c>
      <c r="G21">
        <f>1600-200-640</f>
        <v>760</v>
      </c>
      <c r="J21">
        <v>168</v>
      </c>
    </row>
    <row r="22" spans="1:26" x14ac:dyDescent="0.25">
      <c r="L22" t="s">
        <v>83</v>
      </c>
      <c r="M22" t="s">
        <v>84</v>
      </c>
      <c r="N22" t="s">
        <v>82</v>
      </c>
      <c r="V22" s="3"/>
      <c r="W22" s="3"/>
      <c r="X22" s="3"/>
      <c r="Y22" s="3"/>
      <c r="Z22" s="3"/>
    </row>
    <row r="23" spans="1:26" x14ac:dyDescent="0.25">
      <c r="L23" s="18">
        <v>0.25</v>
      </c>
      <c r="M23" s="18">
        <v>0.45</v>
      </c>
      <c r="N23" s="17">
        <f>I26</f>
        <v>0.35896686159844049</v>
      </c>
    </row>
    <row r="24" spans="1:26" x14ac:dyDescent="0.25">
      <c r="H24">
        <f>SUM(H11:H17)</f>
        <v>27.222222222222221</v>
      </c>
      <c r="I24">
        <f>SUM(I11:I17)</f>
        <v>68.203703703703695</v>
      </c>
      <c r="J24">
        <f>SUM(J11:J17)</f>
        <v>60.537037037037038</v>
      </c>
    </row>
    <row r="25" spans="1:26" x14ac:dyDescent="0.25">
      <c r="H25">
        <f>H24*9</f>
        <v>245</v>
      </c>
      <c r="I25">
        <f>I24*4</f>
        <v>272.81481481481478</v>
      </c>
      <c r="J25">
        <f>J24*4</f>
        <v>242.14814814814815</v>
      </c>
      <c r="M25" t="s">
        <v>89</v>
      </c>
      <c r="N25" t="s">
        <v>90</v>
      </c>
    </row>
    <row r="26" spans="1:26" x14ac:dyDescent="0.25">
      <c r="F26">
        <f>SUM(F11:F16)</f>
        <v>467.74074074074076</v>
      </c>
      <c r="H26" s="16">
        <f>H25/$G$21</f>
        <v>0.32236842105263158</v>
      </c>
      <c r="I26" s="16">
        <f>I25/$G$21</f>
        <v>0.35896686159844049</v>
      </c>
      <c r="J26" s="16">
        <f>J25/$G$21</f>
        <v>0.31861598440545807</v>
      </c>
      <c r="M26" s="17">
        <v>0.35</v>
      </c>
      <c r="N26" s="17">
        <f>H26</f>
        <v>0.32236842105263158</v>
      </c>
    </row>
  </sheetData>
  <conditionalFormatting sqref="N26">
    <cfRule type="cellIs" dxfId="3" priority="4" operator="lessThan">
      <formula>$M$26</formula>
    </cfRule>
  </conditionalFormatting>
  <conditionalFormatting sqref="N23">
    <cfRule type="cellIs" dxfId="2" priority="3" operator="between">
      <formula>$L$23</formula>
      <formula>$M$23</formula>
    </cfRule>
  </conditionalFormatting>
  <conditionalFormatting sqref="N20">
    <cfRule type="cellIs" dxfId="1" priority="2" operator="greaterThan">
      <formula>$L$20</formula>
    </cfRule>
  </conditionalFormatting>
  <conditionalFormatting sqref="G19">
    <cfRule type="cellIs" dxfId="0" priority="1" operator="lessThanOrEqual">
      <formula>$G$21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All Facts</vt:lpstr>
      <vt:lpstr>Recipie</vt:lpstr>
      <vt:lpstr>Solver</vt:lpstr>
      <vt:lpstr>Shopping List</vt:lpstr>
      <vt:lpstr>Simple solver</vt:lpstr>
      <vt:lpstr>Simple solver (daily)</vt:lpstr>
      <vt:lpstr>Simple solver (working)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Paredes</dc:creator>
  <cp:lastModifiedBy>Alexander Paredes</cp:lastModifiedBy>
  <dcterms:created xsi:type="dcterms:W3CDTF">2015-06-05T18:17:20Z</dcterms:created>
  <dcterms:modified xsi:type="dcterms:W3CDTF">2026-04-12T00:17:25Z</dcterms:modified>
</cp:coreProperties>
</file>